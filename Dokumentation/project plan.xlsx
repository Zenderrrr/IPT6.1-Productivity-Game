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ebiru\code\Informatik-2.Jahr\IPT6.1\IPT6.1-Productivity-Game\Dokumentation\"/>
    </mc:Choice>
  </mc:AlternateContent>
  <xr:revisionPtr revIDLastSave="0" documentId="13_ncr:1_{95A5269B-80C5-4C4B-BBEF-86DA76A5077C}" xr6:coauthVersionLast="47" xr6:coauthVersionMax="47" xr10:uidLastSave="{00000000-0000-0000-0000-000000000000}"/>
  <bookViews>
    <workbookView xWindow="-120" yWindow="-18120" windowWidth="29040" windowHeight="17520" xr2:uid="{00000000-000D-0000-FFFF-FFFF00000000}"/>
  </bookViews>
  <sheets>
    <sheet name="Idea Planner" sheetId="1" r:id="rId1"/>
  </sheets>
  <definedNames>
    <definedName name="ColumnTitle1">Tasks[[#Headers],[ Task Status Indicator]]</definedName>
    <definedName name="ColumnTitleRegion1..G5.1">'Idea Planner'!$B$4</definedName>
    <definedName name="PlanDueDate">'Idea Planner'!$E$3</definedName>
    <definedName name="_xlnm.Print_Titles" localSheetId="0">'Idea Planner'!$6:$6</definedName>
    <definedName name="RowTitleRegion1..E3">'Idea Planner'!$D$2</definedName>
    <definedName name="RowTitleRegion2..G3">'Idea Planner'!$F$2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B14" i="1" s="1"/>
  <c r="F15" i="1"/>
  <c r="B15" i="1" s="1"/>
  <c r="F16" i="1"/>
  <c r="B16" i="1" s="1"/>
  <c r="F17" i="1"/>
  <c r="B17" i="1" s="1"/>
  <c r="D9" i="1"/>
  <c r="D10" i="1"/>
  <c r="D8" i="1"/>
  <c r="F11" i="1" l="1"/>
  <c r="B11" i="1" s="1"/>
  <c r="F12" i="1"/>
  <c r="B12" i="1" s="1"/>
  <c r="F13" i="1"/>
  <c r="B13" i="1" s="1"/>
  <c r="F9" i="1" l="1"/>
  <c r="F10" i="1"/>
  <c r="F7" i="1"/>
  <c r="F8" i="1"/>
  <c r="B9" i="1" l="1"/>
  <c r="B8" i="1"/>
  <c r="B7" i="1"/>
  <c r="B10" i="1"/>
</calcChain>
</file>

<file path=xl/sharedStrings.xml><?xml version="1.0" encoding="utf-8"?>
<sst xmlns="http://schemas.openxmlformats.org/spreadsheetml/2006/main" count="32" uniqueCount="26">
  <si>
    <t>Idea Planner</t>
  </si>
  <si>
    <t>Topic:</t>
  </si>
  <si>
    <t>Name:</t>
  </si>
  <si>
    <t>Goal:</t>
  </si>
  <si>
    <t>Objective:</t>
  </si>
  <si>
    <t xml:space="preserve"> Task Status Indicator</t>
  </si>
  <si>
    <t>Tasks</t>
  </si>
  <si>
    <t>Due Date</t>
  </si>
  <si>
    <t>Done?</t>
  </si>
  <si>
    <t>Status Icon</t>
  </si>
  <si>
    <t>Notes</t>
  </si>
  <si>
    <t>No</t>
  </si>
  <si>
    <t>Pending</t>
  </si>
  <si>
    <t>Egor, Sanjivan</t>
  </si>
  <si>
    <t xml:space="preserve"> Project Due Date:</t>
  </si>
  <si>
    <t>Productivity-Game</t>
  </si>
  <si>
    <t>Phase 1.1: Projektdefinition</t>
  </si>
  <si>
    <t>Ziel der Anwendung schriftlich festhalten</t>
  </si>
  <si>
    <t>Funktionbeschreibung</t>
  </si>
  <si>
    <t>Tasksverwaltung</t>
  </si>
  <si>
    <t>Phase 1.2: Feature-Liste &amp; Use-Cases</t>
  </si>
  <si>
    <t>Features auflisten (CRUD)</t>
  </si>
  <si>
    <t>Wie wird XP berechnt &amp; gespeichert</t>
  </si>
  <si>
    <t>Level bestimmen</t>
  </si>
  <si>
    <t>Streak aktualisieren</t>
  </si>
  <si>
    <t>Wichtige Use-Cases beschreiben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</si>
</sst>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Complete&quot;;&quot;Incomplete or Overdue&quot;;&quot;Pending or Due Tomorrow&quot;"/>
  </numFmts>
  <fonts count="13" x14ac:knownFonts="1">
    <font>
      <sz val="11"/>
      <color theme="4" tint="-0.499984740745262"/>
      <name val="Calibri"/>
      <family val="2"/>
      <scheme val="minor"/>
    </font>
    <font>
      <b/>
      <sz val="30"/>
      <color theme="0"/>
      <name val="Calibri"/>
      <family val="2"/>
      <scheme val="major"/>
    </font>
    <font>
      <sz val="11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4" tint="-0.24994659260841701"/>
      <name val="Calibri"/>
      <family val="2"/>
      <scheme val="minor"/>
    </font>
    <font>
      <sz val="11"/>
      <color theme="4" tint="-0.24994659260841701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ck">
        <color theme="4" tint="-0.24994659260841701"/>
      </left>
      <right/>
      <top style="thick">
        <color theme="4" tint="-0.24994659260841701"/>
      </top>
      <bottom/>
      <diagonal/>
    </border>
    <border>
      <left style="thick">
        <color theme="4" tint="-0.24994659260841701"/>
      </left>
      <right/>
      <top/>
      <bottom/>
      <diagonal/>
    </border>
    <border>
      <left/>
      <right/>
      <top/>
      <bottom style="thick">
        <color theme="4" tint="-0.24994659260841701"/>
      </bottom>
      <diagonal/>
    </border>
  </borders>
  <cellStyleXfs count="20">
    <xf numFmtId="0" fontId="0" fillId="4" borderId="0">
      <alignment horizontal="left" vertical="center" wrapText="1" indent="1"/>
    </xf>
    <xf numFmtId="0" fontId="1" fillId="4" borderId="0" applyNumberFormat="0" applyBorder="0" applyProtection="0">
      <alignment horizontal="left" vertical="top" indent="1"/>
    </xf>
    <xf numFmtId="0" fontId="10" fillId="3" borderId="1" applyNumberFormat="0" applyProtection="0">
      <alignment horizontal="left" indent="1"/>
    </xf>
    <xf numFmtId="0" fontId="5" fillId="4" borderId="0" applyNumberFormat="0" applyBorder="0" applyProtection="0">
      <alignment horizontal="right" vertical="center" indent="2"/>
    </xf>
    <xf numFmtId="0" fontId="3" fillId="3" borderId="3" applyNumberFormat="0" applyProtection="0">
      <alignment horizontal="left" vertical="center" wrapText="1" indent="1"/>
    </xf>
    <xf numFmtId="0" fontId="4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" fillId="3" borderId="2" applyNumberFormat="0" applyProtection="0">
      <alignment horizontal="left" vertical="top" wrapText="1" indent="1"/>
    </xf>
    <xf numFmtId="14" fontId="9" fillId="0" borderId="0" applyFont="0" applyFill="0" applyBorder="0" applyAlignment="0">
      <alignment vertical="center"/>
    </xf>
    <xf numFmtId="0" fontId="9" fillId="2" borderId="0" applyNumberFormat="0" applyFont="0" applyFill="0" applyBorder="0">
      <alignment horizontal="center" vertical="center" wrapText="1"/>
    </xf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4" borderId="0" applyNumberFormat="0" applyBorder="0" applyAlignment="0" applyProtection="0">
      <alignment horizontal="left" vertical="center" indent="1"/>
    </xf>
    <xf numFmtId="0" fontId="11" fillId="0" borderId="0" applyFill="0" applyBorder="0" applyAlignment="0" applyProtection="0"/>
    <xf numFmtId="0" fontId="7" fillId="2" borderId="0" applyFill="0" applyBorder="0">
      <alignment horizontal="left" vertical="center" wrapText="1" indent="1"/>
    </xf>
    <xf numFmtId="14" fontId="9" fillId="0" borderId="0" applyFont="0" applyFill="0" applyBorder="0">
      <alignment horizontal="right" vertical="center" indent="1"/>
    </xf>
    <xf numFmtId="168" fontId="12" fillId="4" borderId="0" applyFill="0">
      <alignment horizontal="left" vertical="center" wrapText="1" indent="3"/>
    </xf>
  </cellStyleXfs>
  <cellXfs count="26">
    <xf numFmtId="0" fontId="0" fillId="4" borderId="0" xfId="0">
      <alignment horizontal="left" vertical="center" wrapText="1" indent="1"/>
    </xf>
    <xf numFmtId="0" fontId="5" fillId="4" borderId="0" xfId="3">
      <alignment horizontal="right" vertical="center" indent="2"/>
    </xf>
    <xf numFmtId="0" fontId="3" fillId="3" borderId="3" xfId="4">
      <alignment horizontal="left" vertical="center" wrapText="1" indent="1"/>
    </xf>
    <xf numFmtId="0" fontId="8" fillId="4" borderId="0" xfId="15" applyAlignment="1">
      <alignment horizontal="left" vertical="center" wrapText="1" indent="1"/>
    </xf>
    <xf numFmtId="0" fontId="0" fillId="4" borderId="0" xfId="9" applyFont="1" applyFill="1" applyBorder="1">
      <alignment horizontal="center" vertical="center" wrapText="1"/>
    </xf>
    <xf numFmtId="14" fontId="3" fillId="3" borderId="3" xfId="8" applyFont="1" applyFill="1" applyBorder="1" applyAlignment="1">
      <alignment horizontal="left" vertical="center" indent="1"/>
    </xf>
    <xf numFmtId="0" fontId="8" fillId="4" borderId="0" xfId="9" applyFont="1" applyFill="1">
      <alignment horizontal="center" vertical="center" wrapText="1"/>
    </xf>
    <xf numFmtId="14" fontId="0" fillId="4" borderId="0" xfId="18" applyFont="1" applyFill="1" applyBorder="1">
      <alignment horizontal="right" vertical="center" indent="1"/>
    </xf>
    <xf numFmtId="168" fontId="12" fillId="4" borderId="0" xfId="19" applyAlignment="1">
      <alignment horizontal="left" vertical="center" wrapText="1" indent="1"/>
    </xf>
    <xf numFmtId="168" fontId="12" fillId="4" borderId="0" xfId="19" applyFill="1">
      <alignment horizontal="left" vertical="center" wrapText="1" indent="3"/>
    </xf>
    <xf numFmtId="0" fontId="5" fillId="4" borderId="0" xfId="3" applyAlignment="1">
      <alignment horizontal="center" vertical="center"/>
    </xf>
    <xf numFmtId="0" fontId="0" fillId="4" borderId="0" xfId="0">
      <alignment horizontal="left" vertical="center" wrapText="1" indent="1"/>
    </xf>
    <xf numFmtId="0" fontId="1" fillId="4" borderId="0" xfId="1">
      <alignment horizontal="left" vertical="top" indent="1"/>
    </xf>
    <xf numFmtId="0" fontId="10" fillId="3" borderId="1" xfId="2">
      <alignment horizontal="left" indent="1"/>
    </xf>
    <xf numFmtId="0" fontId="2" fillId="3" borderId="2" xfId="7">
      <alignment horizontal="left" vertical="top" wrapText="1" indent="1"/>
    </xf>
    <xf numFmtId="168" fontId="12" fillId="4" borderId="0" xfId="19">
      <alignment horizontal="left" vertical="center" wrapText="1" indent="3"/>
    </xf>
    <xf numFmtId="14" fontId="0" fillId="4" borderId="0" xfId="18" applyFont="1" applyFill="1">
      <alignment horizontal="right" vertical="center" indent="1"/>
    </xf>
    <xf numFmtId="0" fontId="0" fillId="4" borderId="0" xfId="9" applyFont="1" applyFill="1">
      <alignment horizontal="center" vertical="center" wrapText="1"/>
    </xf>
    <xf numFmtId="0" fontId="0" fillId="5" borderId="0" xfId="0" applyFill="1">
      <alignment horizontal="left" vertical="center" wrapText="1" indent="1"/>
    </xf>
    <xf numFmtId="14" fontId="0" fillId="5" borderId="0" xfId="18" applyFont="1" applyFill="1" applyBorder="1">
      <alignment horizontal="right" vertical="center" indent="1"/>
    </xf>
    <xf numFmtId="0" fontId="0" fillId="5" borderId="0" xfId="9" applyFont="1" applyFill="1" applyBorder="1">
      <alignment horizontal="center" vertical="center" wrapText="1"/>
    </xf>
    <xf numFmtId="168" fontId="12" fillId="5" borderId="0" xfId="19" applyFill="1">
      <alignment horizontal="left" vertical="center" wrapText="1" indent="3"/>
    </xf>
    <xf numFmtId="0" fontId="9" fillId="5" borderId="0" xfId="0" applyFont="1" applyFill="1">
      <alignment horizontal="left" vertical="center" wrapText="1" indent="1"/>
    </xf>
    <xf numFmtId="14" fontId="9" fillId="5" borderId="0" xfId="18" applyFont="1" applyFill="1">
      <alignment horizontal="right" vertical="center" indent="1"/>
    </xf>
    <xf numFmtId="0" fontId="9" fillId="5" borderId="0" xfId="9" applyFont="1" applyFill="1">
      <alignment horizontal="center" vertical="center" wrapText="1"/>
    </xf>
    <xf numFmtId="168" fontId="9" fillId="5" borderId="0" xfId="19" applyFont="1" applyFill="1">
      <alignment horizontal="left" vertical="center" wrapText="1" indent="3"/>
    </xf>
  </cellXfs>
  <cellStyles count="20">
    <cellStyle name="Calculation" xfId="16" builtinId="22" customBuiltin="1"/>
    <cellStyle name="Center aligned" xfId="9" xr:uid="{00000000-0005-0000-0000-000001000000}"/>
    <cellStyle name="Comma" xfId="10" builtinId="3" customBuiltin="1"/>
    <cellStyle name="Comma [0]" xfId="11" builtinId="6" customBuiltin="1"/>
    <cellStyle name="Currency" xfId="12" builtinId="4" customBuiltin="1"/>
    <cellStyle name="Currency [0]" xfId="13" builtinId="7" customBuiltin="1"/>
    <cellStyle name="Due Date" xfId="18" xr:uid="{00000000-0005-0000-0000-000006000000}"/>
    <cellStyle name="Explanatory Text" xfId="7" builtinId="53" customBuiltin="1"/>
    <cellStyle name="Followed Hyperlink" xfId="6" builtinId="9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15" builtinId="19" customBuiltin="1"/>
    <cellStyle name="Hyperlink" xfId="5" builtinId="8" customBuiltin="1"/>
    <cellStyle name="Normal" xfId="0" builtinId="0" customBuiltin="1"/>
    <cellStyle name="Per cent" xfId="14" builtinId="5" customBuiltin="1"/>
    <cellStyle name="Plan Due Date" xfId="8" xr:uid="{00000000-0005-0000-0000-000010000000}"/>
    <cellStyle name="Status Icon Text" xfId="19" xr:uid="{00000000-0005-0000-0000-000011000000}"/>
    <cellStyle name="Task Indicator" xfId="17" xr:uid="{00000000-0005-0000-0000-000012000000}"/>
    <cellStyle name="Title" xfId="1" builtinId="15" customBuiltin="1"/>
  </cellStyles>
  <dxfs count="13">
    <dxf>
      <font>
        <color theme="5" tint="-0.499984740745262"/>
      </font>
    </dxf>
    <dxf>
      <font>
        <color theme="8" tint="-0.499984740745262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theme="5" tint="-0.499984740745262"/>
      </font>
    </dxf>
    <dxf>
      <font>
        <color theme="8" tint="-0.499984740745262"/>
      </font>
    </dxf>
    <dxf>
      <font>
        <color theme="6" tint="-0.499984740745262"/>
      </font>
      <fill>
        <patternFill patternType="none">
          <bgColor auto="1"/>
        </patternFill>
      </fill>
    </dxf>
    <dxf>
      <font>
        <color theme="5" tint="-0.499984740745262"/>
      </font>
    </dxf>
    <dxf>
      <font>
        <color theme="8" tint="-0.499984740745262"/>
      </font>
    </dxf>
    <dxf>
      <font>
        <color theme="6" tint="-0.499984740745262"/>
      </font>
      <fill>
        <patternFill patternType="none">
          <bgColor auto="1"/>
        </patternFill>
      </fill>
    </dxf>
    <dxf>
      <border>
        <bottom style="thick">
          <color theme="4" tint="-0.24994659260841701"/>
        </bottom>
      </border>
    </dxf>
    <dxf>
      <border>
        <right style="thick">
          <color theme="4" tint="-0.24994659260841701"/>
        </right>
        <bottom style="thick">
          <color theme="4" tint="-0.24994659260841701"/>
        </bottom>
        <horizontal style="thick">
          <color theme="4" tint="-0.24994659260841701"/>
        </horizontal>
      </border>
    </dxf>
    <dxf>
      <font>
        <b/>
        <i val="0"/>
        <color theme="0"/>
      </font>
      <fill>
        <patternFill>
          <bgColor theme="4" tint="-0.24994659260841701"/>
        </patternFill>
      </fill>
      <border>
        <bottom style="thick">
          <color theme="4" tint="0.59996337778862885"/>
        </bottom>
      </border>
    </dxf>
    <dxf>
      <fill>
        <patternFill patternType="solid">
          <bgColor theme="0"/>
        </patternFill>
      </fill>
      <border>
        <right style="thick">
          <color theme="4" tint="-0.24994659260841701"/>
        </right>
        <bottom style="thick">
          <color theme="4" tint="0.79998168889431442"/>
        </bottom>
        <horizontal style="thick">
          <color theme="4" tint="0.79998168889431442"/>
        </horizontal>
      </border>
    </dxf>
  </dxfs>
  <tableStyles count="1" defaultTableStyle="Idea Planner" defaultPivotStyle="PivotStyleLight16">
    <tableStyle name="Idea Planner" pivot="0" count="4" xr9:uid="{00000000-0011-0000-FFFF-FFFF00000000}">
      <tableStyleElement type="wholeTable" dxfId="12"/>
      <tableStyleElement type="headerRow" dxfId="11"/>
      <tableStyleElement type="firstColumn" dxfId="10"/>
      <tableStyleElement type="firstHeaderCell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66675</xdr:rowOff>
    </xdr:from>
    <xdr:to>
      <xdr:col>2</xdr:col>
      <xdr:colOff>292100</xdr:colOff>
      <xdr:row>0</xdr:row>
      <xdr:rowOff>425938</xdr:rowOff>
    </xdr:to>
    <xdr:pic>
      <xdr:nvPicPr>
        <xdr:cNvPr id="3" name="Picture 2" descr="Thought bubble graphi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66675"/>
          <a:ext cx="409575" cy="3619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s" displayName="Tasks" ref="B6:G17" totalsRowShown="0">
  <autoFilter ref="B6:G1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6" xr3:uid="{00000000-0010-0000-0000-000006000000}" name=" Task Status Indicator" dataCellStyle="Status Icon Text">
      <calculatedColumnFormula>Tasks[[#This Row],[Status Icon]]</calculatedColumnFormula>
    </tableColumn>
    <tableColumn id="1" xr3:uid="{00000000-0010-0000-0000-000001000000}" name="Tasks"/>
    <tableColumn id="2" xr3:uid="{00000000-0010-0000-0000-000002000000}" name="Due Date" dataCellStyle="Due Date"/>
    <tableColumn id="3" xr3:uid="{00000000-0010-0000-0000-000003000000}" name="Done?" dataCellStyle="Center aligned"/>
    <tableColumn id="4" xr3:uid="{00000000-0010-0000-0000-000004000000}" name="Status Icon" dataCellStyle="Status Icon Text">
      <calculatedColumnFormula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calculatedColumnFormula>
    </tableColumn>
    <tableColumn id="5" xr3:uid="{00000000-0010-0000-0000-000005000000}" name="Notes"/>
  </tableColumns>
  <tableStyleInfo name="Idea Planner" showFirstColumn="1" showLastColumn="0" showRowStripes="1" showColumnStripes="0"/>
  <extLst>
    <ext xmlns:x14="http://schemas.microsoft.com/office/spreadsheetml/2009/9/main" uri="{504A1905-F514-4f6f-8877-14C23A59335A}">
      <x14:table altTextSummary="Enter Tasks, Due Date, and Notes in this table. Mark task completion status in Done column. Indicator status in column B and Status Icons in column F are automatically updated"/>
    </ext>
  </extLst>
</table>
</file>

<file path=xl/theme/theme1.xml><?xml version="1.0" encoding="utf-8"?>
<a:theme xmlns:a="http://schemas.openxmlformats.org/drawingml/2006/main" name="Office Theme">
  <a:themeElements>
    <a:clrScheme name="Task Idea Planner">
      <a:dk1>
        <a:sysClr val="windowText" lastClr="000000"/>
      </a:dk1>
      <a:lt1>
        <a:sysClr val="window" lastClr="FFFFFF"/>
      </a:lt1>
      <a:dk2>
        <a:srgbClr val="505050"/>
      </a:dk2>
      <a:lt2>
        <a:srgbClr val="F0F0F0"/>
      </a:lt2>
      <a:accent1>
        <a:srgbClr val="8C82BD"/>
      </a:accent1>
      <a:accent2>
        <a:srgbClr val="F4783A"/>
      </a:accent2>
      <a:accent3>
        <a:srgbClr val="B4D44C"/>
      </a:accent3>
      <a:accent4>
        <a:srgbClr val="1EC7FF"/>
      </a:accent4>
      <a:accent5>
        <a:srgbClr val="FFD000"/>
      </a:accent5>
      <a:accent6>
        <a:srgbClr val="7991AF"/>
      </a:accent6>
      <a:hlink>
        <a:srgbClr val="FFFFFF"/>
      </a:hlink>
      <a:folHlink>
        <a:srgbClr val="F2F2F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G17"/>
  <sheetViews>
    <sheetView showGridLines="0" tabSelected="1" topLeftCell="A6" zoomScale="130" zoomScaleNormal="130" workbookViewId="0">
      <selection activeCell="G18" sqref="G18"/>
    </sheetView>
  </sheetViews>
  <sheetFormatPr defaultColWidth="8.90625" defaultRowHeight="30" customHeight="1" x14ac:dyDescent="0.35"/>
  <cols>
    <col min="1" max="1" width="2.6328125" customWidth="1"/>
    <col min="2" max="2" width="1" customWidth="1"/>
    <col min="3" max="3" width="42.6328125" customWidth="1"/>
    <col min="4" max="4" width="18.6328125" customWidth="1"/>
    <col min="5" max="5" width="22.54296875" customWidth="1"/>
    <col min="6" max="6" width="31" customWidth="1"/>
    <col min="7" max="7" width="43.36328125" customWidth="1"/>
    <col min="8" max="8" width="2.6328125" customWidth="1"/>
  </cols>
  <sheetData>
    <row r="1" spans="2:7" ht="33.75" customHeight="1" x14ac:dyDescent="0.35">
      <c r="B1" s="11"/>
      <c r="C1" s="11"/>
    </row>
    <row r="2" spans="2:7" ht="33" customHeight="1" thickBot="1" x14ac:dyDescent="0.4">
      <c r="B2" s="12" t="s">
        <v>0</v>
      </c>
      <c r="C2" s="12"/>
      <c r="D2" s="1" t="s">
        <v>1</v>
      </c>
      <c r="E2" s="2" t="s">
        <v>15</v>
      </c>
      <c r="F2" s="1"/>
      <c r="G2" s="1"/>
    </row>
    <row r="3" spans="2:7" ht="33" customHeight="1" thickTop="1" thickBot="1" x14ac:dyDescent="0.4">
      <c r="B3" s="12"/>
      <c r="C3" s="12"/>
      <c r="D3" s="10" t="s">
        <v>14</v>
      </c>
      <c r="E3" s="5">
        <v>46185</v>
      </c>
      <c r="F3" s="1" t="s">
        <v>2</v>
      </c>
      <c r="G3" s="2" t="s">
        <v>13</v>
      </c>
    </row>
    <row r="4" spans="2:7" ht="28.5" customHeight="1" thickTop="1" x14ac:dyDescent="0.45">
      <c r="B4" s="13" t="s">
        <v>3</v>
      </c>
      <c r="C4" s="13"/>
      <c r="D4" s="13"/>
      <c r="E4" s="13" t="s">
        <v>4</v>
      </c>
      <c r="F4" s="13"/>
      <c r="G4" s="13"/>
    </row>
    <row r="5" spans="2:7" ht="75" customHeight="1" x14ac:dyDescent="0.35">
      <c r="B5" s="14"/>
      <c r="C5" s="14"/>
      <c r="D5" s="14"/>
      <c r="E5" s="14"/>
      <c r="F5" s="14"/>
      <c r="G5" s="14"/>
    </row>
    <row r="6" spans="2:7" ht="50.15" customHeight="1" x14ac:dyDescent="0.35">
      <c r="B6" s="3" t="s">
        <v>5</v>
      </c>
      <c r="C6" s="3" t="s">
        <v>6</v>
      </c>
      <c r="D6" s="6" t="s">
        <v>7</v>
      </c>
      <c r="E6" s="6" t="s">
        <v>8</v>
      </c>
      <c r="F6" s="6" t="s">
        <v>9</v>
      </c>
      <c r="G6" s="3" t="s">
        <v>10</v>
      </c>
    </row>
    <row r="7" spans="2:7" ht="30" customHeight="1" x14ac:dyDescent="0.35">
      <c r="B7" s="8" t="str">
        <f ca="1">Tasks[[#This Row],[Status Icon]]</f>
        <v/>
      </c>
      <c r="C7" s="18" t="s">
        <v>16</v>
      </c>
      <c r="D7" s="19"/>
      <c r="E7" s="20"/>
      <c r="F7" s="21" t="str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/>
      </c>
      <c r="G7" s="18"/>
    </row>
    <row r="8" spans="2:7" ht="30" customHeight="1" x14ac:dyDescent="0.35">
      <c r="B8" s="8">
        <f ca="1">Tasks[[#This Row],[Status Icon]]</f>
        <v>0</v>
      </c>
      <c r="C8" t="s">
        <v>17</v>
      </c>
      <c r="D8" s="7">
        <f ca="1">TODAY()</f>
        <v>46058</v>
      </c>
      <c r="E8" s="4" t="s">
        <v>12</v>
      </c>
      <c r="F8" s="9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>0</v>
      </c>
    </row>
    <row r="9" spans="2:7" ht="30" customHeight="1" x14ac:dyDescent="0.35">
      <c r="B9" s="8">
        <f ca="1">Tasks[[#This Row],[Status Icon]]</f>
        <v>0</v>
      </c>
      <c r="C9" t="s">
        <v>18</v>
      </c>
      <c r="D9" s="7">
        <f ca="1">TODAY()</f>
        <v>46058</v>
      </c>
      <c r="E9" s="4" t="s">
        <v>12</v>
      </c>
      <c r="F9" s="9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>0</v>
      </c>
    </row>
    <row r="10" spans="2:7" ht="30" customHeight="1" x14ac:dyDescent="0.35">
      <c r="B10" s="8">
        <f ca="1">Tasks[[#This Row],[Status Icon]]</f>
        <v>0</v>
      </c>
      <c r="C10" t="s">
        <v>19</v>
      </c>
      <c r="D10" s="7">
        <f ca="1">TODAY()</f>
        <v>46058</v>
      </c>
      <c r="E10" s="4" t="s">
        <v>12</v>
      </c>
      <c r="F10" s="9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>0</v>
      </c>
    </row>
    <row r="11" spans="2:7" ht="30" customHeight="1" x14ac:dyDescent="0.35">
      <c r="B11" s="15" t="str">
        <f ca="1">Tasks[[#This Row],[Status Icon]]</f>
        <v/>
      </c>
      <c r="C11" s="22" t="s">
        <v>20</v>
      </c>
      <c r="D11" s="23"/>
      <c r="E11" s="24"/>
      <c r="F11" s="25" t="str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/>
      </c>
      <c r="G11" s="22"/>
    </row>
    <row r="12" spans="2:7" ht="30" customHeight="1" x14ac:dyDescent="0.35">
      <c r="B12" s="15">
        <f ca="1">Tasks[[#This Row],[Status Icon]]</f>
        <v>-1</v>
      </c>
      <c r="C12" t="s">
        <v>21</v>
      </c>
      <c r="D12" s="16">
        <v>46198</v>
      </c>
      <c r="E12" s="17" t="s">
        <v>11</v>
      </c>
      <c r="F12" s="15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>-1</v>
      </c>
    </row>
    <row r="13" spans="2:7" ht="30" customHeight="1" x14ac:dyDescent="0.35">
      <c r="B13" s="15">
        <f ca="1">Tasks[[#This Row],[Status Icon]]</f>
        <v>-1</v>
      </c>
      <c r="C13" t="s">
        <v>22</v>
      </c>
      <c r="D13" s="16">
        <v>46199</v>
      </c>
      <c r="E13" s="17" t="s">
        <v>11</v>
      </c>
      <c r="F13" s="15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>-1</v>
      </c>
    </row>
    <row r="14" spans="2:7" ht="30" customHeight="1" x14ac:dyDescent="0.35">
      <c r="B14" s="15">
        <f ca="1">Tasks[[#This Row],[Status Icon]]</f>
        <v>-1</v>
      </c>
      <c r="C14" t="s">
        <v>23</v>
      </c>
      <c r="D14" s="16">
        <v>46200</v>
      </c>
      <c r="E14" s="17" t="s">
        <v>11</v>
      </c>
      <c r="F14" s="15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>-1</v>
      </c>
    </row>
    <row r="15" spans="2:7" ht="30" customHeight="1" x14ac:dyDescent="0.35">
      <c r="B15" s="15">
        <f ca="1">Tasks[[#This Row],[Status Icon]]</f>
        <v>-1</v>
      </c>
      <c r="C15" t="s">
        <v>24</v>
      </c>
      <c r="D15" s="16">
        <v>46201</v>
      </c>
      <c r="E15" s="17" t="s">
        <v>11</v>
      </c>
      <c r="F15" s="15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>-1</v>
      </c>
    </row>
    <row r="16" spans="2:7" ht="30" customHeight="1" x14ac:dyDescent="0.35">
      <c r="B16" s="15">
        <f ca="1">Tasks[[#This Row],[Status Icon]]</f>
        <v>-1</v>
      </c>
      <c r="C16" t="s">
        <v>25</v>
      </c>
      <c r="D16" s="16">
        <v>46202</v>
      </c>
      <c r="E16" s="17" t="s">
        <v>11</v>
      </c>
      <c r="F16" s="15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>-1</v>
      </c>
    </row>
    <row r="17" spans="2:6" ht="30" customHeight="1" x14ac:dyDescent="0.35">
      <c r="B17" s="15" t="str">
        <f ca="1">Tasks[[#This Row],[Status Icon]]</f>
        <v/>
      </c>
      <c r="D17" s="16"/>
      <c r="E17" s="17"/>
      <c r="F17" s="15" t="str">
        <f ca="1">IFERROR(IF(ISBLANK(Tasks[[#This Row],[Due Date]]),"",IF(Tasks[[#This Row],[Done?]]="Yes",1,IF(OR(Tasks[[#This Row],[Due Date]]&gt;PlanDueDate,Tasks[[#This Row],[Done?]]="No"),-1,IF(OR(OR(Tasks[[#This Row],[Due Date]]=TODAY(),Tasks[[#This Row],[Due Date]]=PlanDueDate),Tasks[[#This Row],[Done?]]="Pending"),0,"")))),"")</f>
        <v/>
      </c>
    </row>
  </sheetData>
  <mergeCells count="6">
    <mergeCell ref="B1:C1"/>
    <mergeCell ref="B2:C3"/>
    <mergeCell ref="E4:G4"/>
    <mergeCell ref="E5:G5"/>
    <mergeCell ref="B4:D4"/>
    <mergeCell ref="B5:D5"/>
  </mergeCells>
  <conditionalFormatting sqref="B7:B17">
    <cfRule type="colorScale" priority="17">
      <colorScale>
        <cfvo type="num" val="-1"/>
        <cfvo type="num" val="0"/>
        <cfvo type="num" val="1"/>
        <color theme="5" tint="-0.249977111117893"/>
        <color theme="8" tint="0.39997558519241921"/>
        <color theme="6" tint="-0.249977111117893"/>
      </colorScale>
    </cfRule>
  </conditionalFormatting>
  <conditionalFormatting sqref="F7:F17">
    <cfRule type="expression" dxfId="8" priority="1">
      <formula>F7=1</formula>
    </cfRule>
    <cfRule type="expression" dxfId="7" priority="2">
      <formula>F7=0</formula>
    </cfRule>
    <cfRule type="expression" dxfId="6" priority="3">
      <formula>F7=-1</formula>
    </cfRule>
    <cfRule type="iconSet" priority="18">
      <iconSet iconSet="3Symbols2">
        <cfvo type="percent" val="0"/>
        <cfvo type="num" val="0"/>
        <cfvo type="num" val="1"/>
      </iconSet>
    </cfRule>
  </conditionalFormatting>
  <dataValidations xWindow="1660" yWindow="543" count="21">
    <dataValidation allowBlank="1" showInputMessage="1" showErrorMessage="1" prompt="Create an Idea Planner in this worksheet. Set a Goal and an Objective, and enter task details in the Tasks table" sqref="A1" xr:uid="{00000000-0002-0000-0000-000000000000}"/>
    <dataValidation allowBlank="1" showInputMessage="1" showErrorMessage="1" prompt="Image is in this cell. Title of this worksheet is in cell below" sqref="B1" xr:uid="{00000000-0002-0000-0000-000001000000}"/>
    <dataValidation allowBlank="1" showInputMessage="1" showErrorMessage="1" prompt="Enter Topic in cell at right" sqref="D2" xr:uid="{00000000-0002-0000-0000-000002000000}"/>
    <dataValidation allowBlank="1" showInputMessage="1" showErrorMessage="1" prompt="Enter Topic in this cell" sqref="E2" xr:uid="{00000000-0002-0000-0000-000003000000}"/>
    <dataValidation allowBlank="1" showInputMessage="1" showErrorMessage="1" prompt="Enter Keywords in cell at right" sqref="F2:G2" xr:uid="{00000000-0002-0000-0000-000004000000}"/>
    <dataValidation allowBlank="1" showInputMessage="1" showErrorMessage="1" prompt="Enter Plan Due Date in cell at right" sqref="D3" xr:uid="{00000000-0002-0000-0000-000006000000}"/>
    <dataValidation allowBlank="1" showInputMessage="1" showErrorMessage="1" prompt="Enter Plan Due Date in this cell" sqref="E3" xr:uid="{00000000-0002-0000-0000-000007000000}"/>
    <dataValidation allowBlank="1" showInputMessage="1" showErrorMessage="1" prompt="Enter Name in cell at right" sqref="F3" xr:uid="{00000000-0002-0000-0000-000008000000}"/>
    <dataValidation allowBlank="1" showInputMessage="1" showErrorMessage="1" prompt="Enter Name in this cell" sqref="G3" xr:uid="{00000000-0002-0000-0000-000009000000}"/>
    <dataValidation allowBlank="1" showInputMessage="1" showErrorMessage="1" prompt="Enter Goal in cell below" sqref="B4:D4" xr:uid="{00000000-0002-0000-0000-00000A000000}"/>
    <dataValidation allowBlank="1" showInputMessage="1" showErrorMessage="1" prompt="Enter Objective in cell below" sqref="E4:G4" xr:uid="{00000000-0002-0000-0000-00000B000000}"/>
    <dataValidation allowBlank="1" showInputMessage="1" showErrorMessage="1" prompt="Enter Goal in this cell" sqref="B5:D5" xr:uid="{00000000-0002-0000-0000-00000C000000}"/>
    <dataValidation allowBlank="1" showInputMessage="1" showErrorMessage="1" prompt="This column is automatically updated and indicates status based on column F" sqref="B6" xr:uid="{00000000-0002-0000-0000-00000D000000}"/>
    <dataValidation allowBlank="1" showInputMessage="1" showErrorMessage="1" prompt="Enter Tasks in this column under this heading" sqref="C6" xr:uid="{00000000-0002-0000-0000-00000E000000}"/>
    <dataValidation allowBlank="1" showInputMessage="1" showErrorMessage="1" prompt="Enter Due Date in this column under this heading" sqref="D6" xr:uid="{00000000-0002-0000-0000-00000F000000}"/>
    <dataValidation allowBlank="1" showInputMessage="1" showErrorMessage="1" prompt="Enter Notes in this column under this heading" sqref="G6" xr:uid="{00000000-0002-0000-0000-000010000000}"/>
    <dataValidation allowBlank="1" showInputMessage="1" showErrorMessage="1" prompt="Select task completion status in this column. Press ALT+DOWN ARROW to open the drop-down list, ENTER to make selection. An icon representing this status is in the column at right" sqref="E6" xr:uid="{00000000-0002-0000-0000-000011000000}"/>
    <dataValidation allowBlank="1" showInputMessage="1" showErrorMessage="1" prompt="Status icons in this column are automatically updated based on Done column value &amp; comparing Due Dates. Dates beyond the due date &amp; just before the due date are noted for emphasis" sqref="F6" xr:uid="{00000000-0002-0000-0000-000012000000}"/>
    <dataValidation allowBlank="1" showInputMessage="1" showErrorMessage="1" prompt="Enter Objective in this cell" sqref="E5:G5" xr:uid="{00000000-0002-0000-0000-000013000000}"/>
    <dataValidation allowBlank="1" showInputMessage="1" showErrorMessage="1" prompt="Title of this worksheet is in this cell. Enter idea details in cells at right. Enter Goal and Objective below. Enter tasks in Tasks table below" sqref="B2:C3" xr:uid="{00000000-0002-0000-0000-000014000000}"/>
    <dataValidation type="list" errorStyle="warning" allowBlank="1" showInputMessage="1" showErrorMessage="1" error="Select an option from the list. Press Cancel then ALT+DOWN ARROW to open the drop-down list, then ENTER to make selection" sqref="E7:E17" xr:uid="{00000000-0002-0000-0000-000015000000}">
      <formula1>"Yes, No, Pending"</formula1>
    </dataValidation>
  </dataValidations>
  <printOptions horizontalCentered="1"/>
  <pageMargins left="0.25" right="0.25" top="0.75" bottom="0.75" header="0.3" footer="0.3"/>
  <pageSetup scale="62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Idea Planner</vt:lpstr>
      <vt:lpstr>ColumnTitle1</vt:lpstr>
      <vt:lpstr>ColumnTitleRegion1..G5.1</vt:lpstr>
      <vt:lpstr>PlanDueDate</vt:lpstr>
      <vt:lpstr>'Idea Planner'!Print_Titles</vt:lpstr>
      <vt:lpstr>RowTitleRegion1..E3</vt:lpstr>
      <vt:lpstr>RowTitleRegion2..G3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Sanjivan Selvarasa</dc:creator>
  <cp:keywords/>
  <dc:description/>
  <cp:lastModifiedBy>FMZ; Biriukov Egor</cp:lastModifiedBy>
  <cp:revision/>
  <dcterms:created xsi:type="dcterms:W3CDTF">2017-04-20T06:51:36Z</dcterms:created>
  <dcterms:modified xsi:type="dcterms:W3CDTF">2026-02-05T08:05:25Z</dcterms:modified>
  <cp:category/>
  <cp:contentStatus/>
</cp:coreProperties>
</file>