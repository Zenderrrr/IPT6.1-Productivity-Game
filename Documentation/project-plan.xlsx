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387BE0B3-762E-49B0-94C7-DFD95815BC29}" xr6:coauthVersionLast="47" xr6:coauthVersionMax="47" xr10:uidLastSave="{00000000-0000-0000-0000-000000000000}"/>
  <bookViews>
    <workbookView xWindow="-120" yWindow="-120" windowWidth="38640" windowHeight="21120"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<sst xmlns="http://schemas.openxmlformats.org/spreadsheetml/2006/main" count="347" uniqueCount="149">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</sst>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6" zoomScaleNormal="100" workbookViewId="0">
      <selection activeCell="M22" sqref="M22"/>
    </sheetView>
  </sheetViews>
  <sheetFormatPr baseColWidth="10" defaultColWidth="8.71093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145</v>
      </c>
      <c r="C5" s="36"/>
      <c r="D5" s="36"/>
      <c r="E5" s="36" t="s">
        <v>135</v>
      </c>
      <c r="F5" s="36"/>
      <c r="G5" s="36"/>
    </row>
    <row r="6" spans="2:7" ht="50.1" customHeight="1" x14ac:dyDescent="0.25">
      <c r="B6" s="3" t="s">
        <v>5</v>
      </c>
      <c r="C6" s="3" t="s">
        <v>6</v>
      </c>
      <c r="D6" s="6" t="s">
        <v>7</v>
      </c>
      <c r="E6" s="6" t="s">
        <v>8</v>
      </c>
      <c r="F6" s="6" t="s">
        <v>9</v>
      </c>
      <c r="G6" s="3" t="s">
        <v>136</v>
      </c>
    </row>
    <row r="7" spans="2:7" ht="30" customHeight="1" x14ac:dyDescent="0.25">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25">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25">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25">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25">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25">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25">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25">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25">
      <c r="B17" s="11">
        <f ca="1">Tasks[[#This Row],[Status Icon]]</f>
        <v>0</v>
      </c>
      <c r="C17" t="s">
        <v>21</v>
      </c>
      <c r="D17" s="12">
        <v>46079</v>
      </c>
      <c r="E17" s="13" t="s">
        <v>148</v>
      </c>
      <c r="F17" s="11">
        <f ca="1">IFERROR(IF(ISBLANK(Tasks[[#This Row],[Due Date]]),"",IF(Tasks[[#This Row],[Done?]]="Yes",1,IF(OR(Tasks[[#This Row],[Due Date]]&gt;PlanDueDate,Tasks[[#This Row],[Done?]]="No"),-1,IF(OR(OR(Tasks[[#This Row],[Due Date]]=TODAY(),Tasks[[#This Row],[Due Date]]=PlanDueDate),Tasks[[#This Row],[Done?]]="Pending"),0,"")))),"")</f>
        <v>0</v>
      </c>
      <c r="G17" s="27" t="s">
        <v>140</v>
      </c>
    </row>
    <row r="18" spans="2:7" ht="30" customHeight="1" x14ac:dyDescent="0.25">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36</v>
      </c>
      <c r="D19" s="12">
        <v>46086</v>
      </c>
      <c r="E19" s="13" t="s">
        <v>134</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25">
      <c r="B20" s="11">
        <f ca="1">Tasks[[#This Row],[Status Icon]]</f>
        <v>1</v>
      </c>
      <c r="C20" t="s">
        <v>37</v>
      </c>
      <c r="D20" s="12">
        <v>46086</v>
      </c>
      <c r="E20" s="13" t="s">
        <v>134</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25">
      <c r="B21" s="11">
        <f ca="1">Tasks[[#This Row],[Status Icon]]</f>
        <v>1</v>
      </c>
      <c r="C21" t="s">
        <v>38</v>
      </c>
      <c r="D21" s="12">
        <v>46086</v>
      </c>
      <c r="E21" s="13" t="s">
        <v>134</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25">
      <c r="B22" s="11">
        <f ca="1">Tasks[[#This Row],[Status Icon]]</f>
        <v>0</v>
      </c>
      <c r="C22" t="s">
        <v>39</v>
      </c>
      <c r="D22" s="12">
        <v>46086</v>
      </c>
      <c r="E22" s="13" t="s">
        <v>148</v>
      </c>
      <c r="F22" s="11">
        <f ca="1">IFERROR(IF(ISBLANK(Tasks[[#This Row],[Due Date]]),"",IF(Tasks[[#This Row],[Done?]]="Yes",1,IF(OR(Tasks[[#This Row],[Due Date]]&gt;PlanDueDate,Tasks[[#This Row],[Done?]]="No"),-1,IF(OR(OR(Tasks[[#This Row],[Due Date]]=TODAY(),Tasks[[#This Row],[Due Date]]=PlanDueDate),Tasks[[#This Row],[Done?]]="Pending"),0,"")))),"")</f>
        <v>0</v>
      </c>
      <c r="G22" s="27" t="s">
        <v>139</v>
      </c>
    </row>
    <row r="23" spans="2:7" ht="30" customHeight="1" x14ac:dyDescent="0.25">
      <c r="B23" s="11">
        <f ca="1">Tasks[[#This Row],[Status Icon]]</f>
        <v>0</v>
      </c>
      <c r="C23" t="s">
        <v>40</v>
      </c>
      <c r="D23" s="12">
        <v>46086</v>
      </c>
      <c r="E23" s="13" t="s">
        <v>148</v>
      </c>
      <c r="F23" s="11">
        <f ca="1">IFERROR(IF(ISBLANK(Tasks[[#This Row],[Due Date]]),"",IF(Tasks[[#This Row],[Done?]]="Yes",1,IF(OR(Tasks[[#This Row],[Due Date]]&gt;PlanDueDate,Tasks[[#This Row],[Done?]]="No"),-1,IF(OR(OR(Tasks[[#This Row],[Due Date]]=TODAY(),Tasks[[#This Row],[Due Date]]=PlanDueDate),Tasks[[#This Row],[Done?]]="Pending"),0,"")))),"")</f>
        <v>0</v>
      </c>
      <c r="G23" s="27" t="s">
        <v>137</v>
      </c>
    </row>
    <row r="24" spans="2:7" ht="30" customHeight="1" x14ac:dyDescent="0.25">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25">
      <c r="B25" s="11">
        <f ca="1">Tasks[[#This Row],[Status Icon]]</f>
        <v>0</v>
      </c>
      <c r="C25" t="s">
        <v>42</v>
      </c>
      <c r="D25" s="12">
        <v>46086</v>
      </c>
      <c r="E25" s="13" t="s">
        <v>148</v>
      </c>
      <c r="F25" s="11">
        <f ca="1">IFERROR(IF(ISBLANK(Tasks[[#This Row],[Due Date]]),"",IF(Tasks[[#This Row],[Done?]]="Yes",1,IF(OR(Tasks[[#This Row],[Due Date]]&gt;PlanDueDate,Tasks[[#This Row],[Done?]]="No"),-1,IF(OR(OR(Tasks[[#This Row],[Due Date]]=TODAY(),Tasks[[#This Row],[Due Date]]=PlanDueDate),Tasks[[#This Row],[Done?]]="Pending"),0,"")))),"")</f>
        <v>0</v>
      </c>
      <c r="G25" s="27" t="s">
        <v>140</v>
      </c>
    </row>
    <row r="26" spans="2:7" ht="30" customHeight="1" x14ac:dyDescent="0.25">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46093</v>
      </c>
      <c r="E27" s="13" t="s">
        <v>10</v>
      </c>
      <c r="F27" s="11">
        <f ca="1">IFERROR(IF(ISBLANK(Tasks[[#This Row],[Due Date]]),"",IF(Tasks[[#This Row],[Done?]]="Yes",1,IF(OR(Tasks[[#This Row],[Due Date]]&gt;PlanDueDate,Tasks[[#This Row],[Done?]]="No"),-1,IF(OR(OR(Tasks[[#This Row],[Due Date]]=TODAY(),Tasks[[#This Row],[Due Date]]=PlanDueDate),Tasks[[#This Row],[Done?]]="Pending"),0,"")))),"")</f>
        <v>-1</v>
      </c>
      <c r="G27" s="30" t="s">
        <v>137</v>
      </c>
    </row>
    <row r="28" spans="2:7" ht="30" customHeight="1" x14ac:dyDescent="0.25">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140</v>
      </c>
    </row>
    <row r="29" spans="2:7" ht="30" customHeight="1" x14ac:dyDescent="0.25">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25">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2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25">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2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25">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2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2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2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25">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2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2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2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2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2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25">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2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25">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2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25">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2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2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2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2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25">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25">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2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2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2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25">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25">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2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2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25">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25">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2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2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25">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25">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25">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2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2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2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2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25">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25">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2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2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2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25">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25">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2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2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2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25">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25">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25">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2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2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25">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2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25">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25">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2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2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2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25">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25">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25">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2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2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25">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25">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2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2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2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25">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25">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2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25">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25">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25">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2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2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25">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25">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2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25">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25">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25">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2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2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25">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25">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2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2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2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2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25">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25">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25">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25">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25">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2026-03-04T18:23:22Z</dcterms:modified>
  <cp:category/>
  <cp:contentStatus/>
</cp:coreProperties>
</file>