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BA8ECC97-10A1-4D8E-822F-998F457C238C}"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<sst xmlns="http://schemas.openxmlformats.org/spreadsheetml/2006/main" count="347" uniqueCount="149">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</sst>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2" zoomScaleNormal="100" workbookViewId="0">
      <selection activeCell="J16" sqref="J16"/>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145</v>
      </c>
      <c r="C5" s="36"/>
      <c r="D5" s="36"/>
      <c r="E5" s="36" t="s">
        <v>135</v>
      </c>
      <c r="F5" s="36"/>
      <c r="G5" s="36"/>
    </row>
    <row r="6" spans="2:7" ht="50.1" customHeight="1" x14ac:dyDescent="0.3">
      <c r="B6" s="3" t="s">
        <v>5</v>
      </c>
      <c r="C6" s="3" t="s">
        <v>6</v>
      </c>
      <c r="D6" s="6" t="s">
        <v>7</v>
      </c>
      <c r="E6" s="6" t="s">
        <v>8</v>
      </c>
      <c r="F6" s="6" t="s">
        <v>9</v>
      </c>
      <c r="G6" s="3" t="s">
        <v>136</v>
      </c>
    </row>
    <row r="7" spans="2:7" ht="30" customHeight="1" x14ac:dyDescent="0.3">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
      <c r="B17" s="11">
        <f ca="1">Tasks[[#This Row],[Status Icon]]</f>
        <v>0</v>
      </c>
      <c r="C17" t="s">
        <v>21</v>
      </c>
      <c r="D17" s="12">
        <v>46079</v>
      </c>
      <c r="E17" s="13" t="s">
        <v>148</v>
      </c>
      <c r="F17" s="11">
        <f ca="1">IFERROR(IF(ISBLANK(Tasks[[#This Row],[Due Date]]),"",IF(Tasks[[#This Row],[Done?]]="Yes",1,IF(OR(Tasks[[#This Row],[Due Date]]&gt;PlanDueDate,Tasks[[#This Row],[Done?]]="No"),-1,IF(OR(OR(Tasks[[#This Row],[Due Date]]=TODAY(),Tasks[[#This Row],[Due Date]]=PlanDueDate),Tasks[[#This Row],[Done?]]="Pending"),0,"")))),"")</f>
        <v>0</v>
      </c>
      <c r="G17" s="27" t="s">
        <v>140</v>
      </c>
    </row>
    <row r="18" spans="2:7" ht="30" customHeight="1" x14ac:dyDescent="0.3">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3">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3">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2026-02-26T07:59:38Z</dcterms:modified>
  <cp:category/>
  <cp:contentStatus/>
</cp:coreProperties>
</file>