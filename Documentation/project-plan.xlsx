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CBCB38FC-5291-4309-A704-BDFC6B412D42}" xr6:coauthVersionLast="47" xr6:coauthVersionMax="47" xr10:uidLastSave="{00000000-0000-0000-0000-000000000000}"/>
  <bookViews>
    <workbookView xWindow="-105" yWindow="0" windowWidth="19410" windowHeight="20985"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<sst xmlns="http://schemas.openxmlformats.org/spreadsheetml/2006/main" count="327" uniqueCount="148">
  <si>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</si>
  <si>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</si>
  <si>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</si>
  <si>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</si>
  <si>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</si>
  <si>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</si>
  <si>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</si>
  <si>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</si>
  <si>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</si>
  <si>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</si>
  <si>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</si>
  <si>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</si>
  <si>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</si>
  <si>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</si>
  <si>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</si>
  <si>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</si>
  <si>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</si>
  <si>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</si>
  <si>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</si>
  <si>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</si>
  <si>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</si>
  <si>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</si>
  <si>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</si>
  <si>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</si>
  <si>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</si>
  <si>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</si>
  <si>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</si>
  <si>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</si>
  <si>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</si>
  <si>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</si>
  <si>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</si>
  <si>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</si>
  <si>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</si>
  <si>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</si>
  <si>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</si>
  <si>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</si>
  <si>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</si>
  <si>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</si>
  <si>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</si>
  <si>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</si>
  <si>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</si>
  <si>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</si>
  <si>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</si>
  <si>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</si>
  <si>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</si>
  <si>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</si>
  <si>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</si>
  <si>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</si>
  <si>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</si>
  <si>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</si>
  <si>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</si>
  <si>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</si>
  <si>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</si>
  <si>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</si>
  <si>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</si>
  <si>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</si>
  <si>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</si>
  <si>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</si>
  <si>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</si>
  <si>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Gesamt-XP pro User berechnen/abrufend</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</si>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</sst>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42" zoomScaleNormal="100" workbookViewId="0">
      <selection activeCell="E60" sqref="E60"/>
    </sheetView>
  </sheetViews>
  <sheetFormatPr baseColWidth="10" defaultColWidth="8.85546875" defaultRowHeight="30" customHeight="1" x14ac:dyDescent="0.25"/>
  <cols>
    <col min="1" max="1" width="2.5703125" customWidth="1"/>
    <col min="2" max="2" width="1" customWidth="1"/>
    <col min="3" max="3" width="42.5703125" customWidth="1"/>
    <col min="4" max="4" width="18.5703125" customWidth="1"/>
    <col min="5" max="5" width="22.5703125" customWidth="1"/>
    <col min="6" max="6" width="31" customWidth="1"/>
    <col min="7" max="7" width="43.42578125" customWidth="1"/>
    <col min="8" max="8" width="2.5703125" customWidth="1"/>
  </cols>
  <sheetData>
    <row r="1" spans="2:7" ht="33.75" customHeight="1" x14ac:dyDescent="0.25">
      <c r="B1" s="33"/>
      <c r="C1" s="33"/>
    </row>
    <row r="2" spans="2:7" ht="33" customHeight="1" thickBot="1" x14ac:dyDescent="0.3">
      <c r="B2" s="34" t="s">
        <v>0</v>
      </c>
      <c r="C2" s="34"/>
      <c r="D2" s="1" t="s">
        <v>1</v>
      </c>
      <c r="E2" s="2" t="s">
        <v>13</v>
      </c>
      <c r="F2" s="1"/>
      <c r="G2" s="1"/>
    </row>
    <row r="3" spans="2:7" ht="33" customHeight="1" thickTop="1" thickBot="1" x14ac:dyDescent="0.3">
      <c r="B3" s="34"/>
      <c r="C3" s="34"/>
      <c r="D3" s="10" t="s">
        <v>12</v>
      </c>
      <c r="E3" s="5">
        <v>46185</v>
      </c>
      <c r="F3" s="1" t="s">
        <v>2</v>
      </c>
      <c r="G3" s="2" t="s">
        <v>11</v>
      </c>
    </row>
    <row r="4" spans="2:7" ht="28.5" customHeight="1" thickTop="1" x14ac:dyDescent="0.3">
      <c r="B4" s="35" t="s">
        <v>3</v>
      </c>
      <c r="C4" s="35"/>
      <c r="D4" s="35"/>
      <c r="E4" s="35" t="s">
        <v>4</v>
      </c>
      <c r="F4" s="35"/>
      <c r="G4" s="35"/>
    </row>
    <row r="5" spans="2:7" ht="75" customHeight="1" x14ac:dyDescent="0.25">
      <c r="B5" s="36" t="s">
        <v>146</v>
      </c>
      <c r="C5" s="36"/>
      <c r="D5" s="36"/>
      <c r="E5" s="36" t="s">
        <v>136</v>
      </c>
      <c r="F5" s="36"/>
      <c r="G5" s="36"/>
    </row>
    <row r="6" spans="2:7" ht="50.1" customHeight="1" x14ac:dyDescent="0.25">
      <c r="B6" s="3" t="s">
        <v>5</v>
      </c>
      <c r="C6" s="3" t="s">
        <v>6</v>
      </c>
      <c r="D6" s="6" t="s">
        <v>7</v>
      </c>
      <c r="E6" s="6" t="s">
        <v>8</v>
      </c>
      <c r="F6" s="6" t="s">
        <v>9</v>
      </c>
      <c r="G6" s="3" t="s">
        <v>137</v>
      </c>
    </row>
    <row r="7" spans="2:7" ht="30" customHeight="1" x14ac:dyDescent="0.25">
      <c r="B7" s="8" t="str">
        <f ca="1">Tasks[[#This Row],[Status Icon]]</f>
        <v/>
      </c>
      <c r="C7" s="14" t="s">
        <v>85</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25">
      <c r="B8" s="8">
        <f ca="1">Tasks[[#This Row],[Status Icon]]</f>
        <v>1</v>
      </c>
      <c r="C8" t="s">
        <v>14</v>
      </c>
      <c r="D8" s="7">
        <v>46063</v>
      </c>
      <c r="E8" s="4" t="s">
        <v>135</v>
      </c>
      <c r="F8" s="9">
        <f ca="1">IFERROR(IF(ISBLANK(Tasks[[#This Row],[Due Date]]),"",IF(Tasks[[#This Row],[Done?]]="Yes",1,IF(OR(Tasks[[#This Row],[Due Date]]&gt;PlanDueDate,Tasks[[#This Row],[Done?]]="No"),-1,IF(OR(OR(Tasks[[#This Row],[Due Date]]=TODAY(),Tasks[[#This Row],[Due Date]]=PlanDueDate),Tasks[[#This Row],[Done?]]="Pending"),0,"")))),"")</f>
        <v>1</v>
      </c>
      <c r="G8" s="27" t="s">
        <v>138</v>
      </c>
    </row>
    <row r="9" spans="2:7" ht="30" customHeight="1" x14ac:dyDescent="0.25">
      <c r="B9" s="8">
        <f ca="1">Tasks[[#This Row],[Status Icon]]</f>
        <v>1</v>
      </c>
      <c r="C9" t="s">
        <v>15</v>
      </c>
      <c r="D9" s="7">
        <v>46063</v>
      </c>
      <c r="E9" s="4" t="s">
        <v>135</v>
      </c>
      <c r="F9" s="9">
        <f ca="1">IFERROR(IF(ISBLANK(Tasks[[#This Row],[Due Date]]),"",IF(Tasks[[#This Row],[Done?]]="Yes",1,IF(OR(Tasks[[#This Row],[Due Date]]&gt;PlanDueDate,Tasks[[#This Row],[Done?]]="No"),-1,IF(OR(OR(Tasks[[#This Row],[Due Date]]=TODAY(),Tasks[[#This Row],[Due Date]]=PlanDueDate),Tasks[[#This Row],[Done?]]="Pending"),0,"")))),"")</f>
        <v>1</v>
      </c>
      <c r="G9" s="27" t="s">
        <v>138</v>
      </c>
    </row>
    <row r="10" spans="2:7" ht="30" customHeight="1" x14ac:dyDescent="0.25">
      <c r="B10" s="8">
        <f ca="1">Tasks[[#This Row],[Status Icon]]</f>
        <v>1</v>
      </c>
      <c r="C10" t="s">
        <v>16</v>
      </c>
      <c r="D10" s="7">
        <v>46063</v>
      </c>
      <c r="E10" s="4" t="s">
        <v>135</v>
      </c>
      <c r="F10" s="9">
        <f ca="1">IFERROR(IF(ISBLANK(Tasks[[#This Row],[Due Date]]),"",IF(Tasks[[#This Row],[Done?]]="Yes",1,IF(OR(Tasks[[#This Row],[Due Date]]&gt;PlanDueDate,Tasks[[#This Row],[Done?]]="No"),-1,IF(OR(OR(Tasks[[#This Row],[Due Date]]=TODAY(),Tasks[[#This Row],[Due Date]]=PlanDueDate),Tasks[[#This Row],[Done?]]="Pending"),0,"")))),"")</f>
        <v>1</v>
      </c>
      <c r="G10" s="27" t="s">
        <v>138</v>
      </c>
    </row>
    <row r="11" spans="2:7" ht="30" customHeight="1" x14ac:dyDescent="0.25">
      <c r="B11" s="11">
        <f ca="1">Tasks[[#This Row],[Status Icon]]</f>
        <v>1</v>
      </c>
      <c r="C11" t="s">
        <v>139</v>
      </c>
      <c r="D11" s="7">
        <v>46063</v>
      </c>
      <c r="E11" s="4" t="s">
        <v>135</v>
      </c>
      <c r="F11" s="9">
        <f ca="1">IFERROR(IF(ISBLANK(Tasks[[#This Row],[Due Date]]),"",IF(Tasks[[#This Row],[Done?]]="Yes",1,IF(OR(Tasks[[#This Row],[Due Date]]&gt;PlanDueDate,Tasks[[#This Row],[Done?]]="No"),-1,IF(OR(OR(Tasks[[#This Row],[Due Date]]=TODAY(),Tasks[[#This Row],[Due Date]]=PlanDueDate),Tasks[[#This Row],[Done?]]="Pending"),0,"")))),"")</f>
        <v>1</v>
      </c>
      <c r="G11" s="27" t="s">
        <v>140</v>
      </c>
    </row>
    <row r="12" spans="2:7" ht="30" customHeight="1" x14ac:dyDescent="0.25">
      <c r="B12" s="11" t="str">
        <f ca="1">Tasks[[#This Row],[Status Icon]]</f>
        <v/>
      </c>
      <c r="C12" s="18" t="s">
        <v>86</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25">
      <c r="B13" s="11">
        <f ca="1">Tasks[[#This Row],[Status Icon]]</f>
        <v>-1</v>
      </c>
      <c r="C13" t="s">
        <v>17</v>
      </c>
      <c r="D13" s="12">
        <v>46079</v>
      </c>
      <c r="E13" s="13" t="s">
        <v>10</v>
      </c>
      <c r="F13" s="11">
        <f ca="1">IFERROR(IF(ISBLANK(Tasks[[#This Row],[Due Date]]),"",IF(Tasks[[#This Row],[Done?]]="Yes",1,IF(OR(Tasks[[#This Row],[Due Date]]&gt;PlanDueDate,Tasks[[#This Row],[Done?]]="No"),-1,IF(OR(OR(Tasks[[#This Row],[Due Date]]=TODAY(),Tasks[[#This Row],[Due Date]]=PlanDueDate),Tasks[[#This Row],[Done?]]="Pending"),0,"")))),"")</f>
        <v>-1</v>
      </c>
      <c r="G13" s="27" t="s">
        <v>138</v>
      </c>
    </row>
    <row r="14" spans="2:7" ht="30" customHeight="1" x14ac:dyDescent="0.25">
      <c r="B14" s="11">
        <f ca="1">Tasks[[#This Row],[Status Icon]]</f>
        <v>-1</v>
      </c>
      <c r="C14" t="s">
        <v>18</v>
      </c>
      <c r="D14" s="12">
        <v>46079</v>
      </c>
      <c r="E14" s="13" t="s">
        <v>10</v>
      </c>
      <c r="F14" s="11">
        <f ca="1">IFERROR(IF(ISBLANK(Tasks[[#This Row],[Due Date]]),"",IF(Tasks[[#This Row],[Done?]]="Yes",1,IF(OR(Tasks[[#This Row],[Due Date]]&gt;PlanDueDate,Tasks[[#This Row],[Done?]]="No"),-1,IF(OR(OR(Tasks[[#This Row],[Due Date]]=TODAY(),Tasks[[#This Row],[Due Date]]=PlanDueDate),Tasks[[#This Row],[Done?]]="Pending"),0,"")))),"")</f>
        <v>-1</v>
      </c>
      <c r="G14" s="27" t="s">
        <v>138</v>
      </c>
    </row>
    <row r="15" spans="2:7" ht="30" customHeight="1" x14ac:dyDescent="0.25">
      <c r="B15" s="11">
        <f ca="1">Tasks[[#This Row],[Status Icon]]</f>
        <v>-1</v>
      </c>
      <c r="C15" t="s">
        <v>19</v>
      </c>
      <c r="D15" s="12">
        <v>46079</v>
      </c>
      <c r="E15" s="13" t="s">
        <v>10</v>
      </c>
      <c r="F15" s="11">
        <f ca="1">IFERROR(IF(ISBLANK(Tasks[[#This Row],[Due Date]]),"",IF(Tasks[[#This Row],[Done?]]="Yes",1,IF(OR(Tasks[[#This Row],[Due Date]]&gt;PlanDueDate,Tasks[[#This Row],[Done?]]="No"),-1,IF(OR(OR(Tasks[[#This Row],[Due Date]]=TODAY(),Tasks[[#This Row],[Due Date]]=PlanDueDate),Tasks[[#This Row],[Done?]]="Pending"),0,"")))),"")</f>
        <v>-1</v>
      </c>
      <c r="G15" s="27" t="s">
        <v>140</v>
      </c>
    </row>
    <row r="16" spans="2:7" ht="30" customHeight="1" x14ac:dyDescent="0.25">
      <c r="B16" s="11">
        <f ca="1">Tasks[[#This Row],[Status Icon]]</f>
        <v>-1</v>
      </c>
      <c r="C16" t="s">
        <v>20</v>
      </c>
      <c r="D16" s="12">
        <v>46079</v>
      </c>
      <c r="E16" s="13" t="s">
        <v>10</v>
      </c>
      <c r="F16" s="11">
        <f ca="1">IFERROR(IF(ISBLANK(Tasks[[#This Row],[Due Date]]),"",IF(Tasks[[#This Row],[Done?]]="Yes",1,IF(OR(Tasks[[#This Row],[Due Date]]&gt;PlanDueDate,Tasks[[#This Row],[Done?]]="No"),-1,IF(OR(OR(Tasks[[#This Row],[Due Date]]=TODAY(),Tasks[[#This Row],[Due Date]]=PlanDueDate),Tasks[[#This Row],[Done?]]="Pending"),0,"")))),"")</f>
        <v>-1</v>
      </c>
      <c r="G16" s="27" t="s">
        <v>140</v>
      </c>
    </row>
    <row r="17" spans="2:7" ht="30" customHeight="1" x14ac:dyDescent="0.25">
      <c r="B17" s="11">
        <f ca="1">Tasks[[#This Row],[Status Icon]]</f>
        <v>-1</v>
      </c>
      <c r="C17" t="s">
        <v>21</v>
      </c>
      <c r="D17" s="12">
        <v>46079</v>
      </c>
      <c r="E17" s="13" t="s">
        <v>10</v>
      </c>
      <c r="F17" s="11">
        <f ca="1">IFERROR(IF(ISBLANK(Tasks[[#This Row],[Due Date]]),"",IF(Tasks[[#This Row],[Done?]]="Yes",1,IF(OR(Tasks[[#This Row],[Due Date]]&gt;PlanDueDate,Tasks[[#This Row],[Done?]]="No"),-1,IF(OR(OR(Tasks[[#This Row],[Due Date]]=TODAY(),Tasks[[#This Row],[Due Date]]=PlanDueDate),Tasks[[#This Row],[Done?]]="Pending"),0,"")))),"")</f>
        <v>-1</v>
      </c>
      <c r="G17" s="27" t="s">
        <v>141</v>
      </c>
    </row>
    <row r="18" spans="2:7" ht="30" customHeight="1" x14ac:dyDescent="0.25">
      <c r="B18" s="11" t="str">
        <f ca="1">Tasks[[#This Row],[Status Icon]]</f>
        <v/>
      </c>
      <c r="C18" s="22" t="s">
        <v>87</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25">
      <c r="B19" s="11">
        <f ca="1">Tasks[[#This Row],[Status Icon]]</f>
        <v>-1</v>
      </c>
      <c r="C19" t="s">
        <v>36</v>
      </c>
      <c r="D19" s="12">
        <v>46086</v>
      </c>
      <c r="E19" s="13" t="s">
        <v>10</v>
      </c>
      <c r="F19" s="11">
        <f ca="1">IFERROR(IF(ISBLANK(Tasks[[#This Row],[Due Date]]),"",IF(Tasks[[#This Row],[Done?]]="Yes",1,IF(OR(Tasks[[#This Row],[Due Date]]&gt;PlanDueDate,Tasks[[#This Row],[Done?]]="No"),-1,IF(OR(OR(Tasks[[#This Row],[Due Date]]=TODAY(),Tasks[[#This Row],[Due Date]]=PlanDueDate),Tasks[[#This Row],[Done?]]="Pending"),0,"")))),"")</f>
        <v>-1</v>
      </c>
      <c r="G19" s="27" t="s">
        <v>138</v>
      </c>
    </row>
    <row r="20" spans="2:7" ht="30" customHeight="1" x14ac:dyDescent="0.25">
      <c r="B20" s="11">
        <f ca="1">Tasks[[#This Row],[Status Icon]]</f>
        <v>-1</v>
      </c>
      <c r="C20" t="s">
        <v>37</v>
      </c>
      <c r="D20" s="12">
        <v>46086</v>
      </c>
      <c r="E20" s="13" t="s">
        <v>10</v>
      </c>
      <c r="F20" s="11">
        <f ca="1">IFERROR(IF(ISBLANK(Tasks[[#This Row],[Due Date]]),"",IF(Tasks[[#This Row],[Done?]]="Yes",1,IF(OR(Tasks[[#This Row],[Due Date]]&gt;PlanDueDate,Tasks[[#This Row],[Done?]]="No"),-1,IF(OR(OR(Tasks[[#This Row],[Due Date]]=TODAY(),Tasks[[#This Row],[Due Date]]=PlanDueDate),Tasks[[#This Row],[Done?]]="Pending"),0,"")))),"")</f>
        <v>-1</v>
      </c>
      <c r="G20" s="27" t="s">
        <v>140</v>
      </c>
    </row>
    <row r="21" spans="2:7" ht="30" customHeight="1" x14ac:dyDescent="0.25">
      <c r="B21" s="11">
        <f ca="1">Tasks[[#This Row],[Status Icon]]</f>
        <v>-1</v>
      </c>
      <c r="C21" t="s">
        <v>38</v>
      </c>
      <c r="D21" s="12">
        <v>46086</v>
      </c>
      <c r="E21" s="13" t="s">
        <v>10</v>
      </c>
      <c r="F21" s="11">
        <f ca="1">IFERROR(IF(ISBLANK(Tasks[[#This Row],[Due Date]]),"",IF(Tasks[[#This Row],[Done?]]="Yes",1,IF(OR(Tasks[[#This Row],[Due Date]]&gt;PlanDueDate,Tasks[[#This Row],[Done?]]="No"),-1,IF(OR(OR(Tasks[[#This Row],[Due Date]]=TODAY(),Tasks[[#This Row],[Due Date]]=PlanDueDate),Tasks[[#This Row],[Done?]]="Pending"),0,"")))),"")</f>
        <v>-1</v>
      </c>
      <c r="G21" s="27" t="s">
        <v>140</v>
      </c>
    </row>
    <row r="22" spans="2:7" ht="30" customHeight="1" x14ac:dyDescent="0.25">
      <c r="B22" s="11">
        <f ca="1">Tasks[[#This Row],[Status Icon]]</f>
        <v>-1</v>
      </c>
      <c r="C22" t="s">
        <v>39</v>
      </c>
      <c r="D22" s="12">
        <v>46086</v>
      </c>
      <c r="E22" s="13" t="s">
        <v>10</v>
      </c>
      <c r="F22" s="11">
        <f ca="1">IFERROR(IF(ISBLANK(Tasks[[#This Row],[Due Date]]),"",IF(Tasks[[#This Row],[Done?]]="Yes",1,IF(OR(Tasks[[#This Row],[Due Date]]&gt;PlanDueDate,Tasks[[#This Row],[Done?]]="No"),-1,IF(OR(OR(Tasks[[#This Row],[Due Date]]=TODAY(),Tasks[[#This Row],[Due Date]]=PlanDueDate),Tasks[[#This Row],[Done?]]="Pending"),0,"")))),"")</f>
        <v>-1</v>
      </c>
      <c r="G22" s="27" t="s">
        <v>140</v>
      </c>
    </row>
    <row r="23" spans="2:7" ht="30" customHeight="1" x14ac:dyDescent="0.25">
      <c r="B23" s="11">
        <f ca="1">Tasks[[#This Row],[Status Icon]]</f>
        <v>-1</v>
      </c>
      <c r="C23" t="s">
        <v>40</v>
      </c>
      <c r="D23" s="12">
        <v>46086</v>
      </c>
      <c r="E23" s="13" t="s">
        <v>10</v>
      </c>
      <c r="F23" s="11">
        <f ca="1">IFERROR(IF(ISBLANK(Tasks[[#This Row],[Due Date]]),"",IF(Tasks[[#This Row],[Done?]]="Yes",1,IF(OR(Tasks[[#This Row],[Due Date]]&gt;PlanDueDate,Tasks[[#This Row],[Done?]]="No"),-1,IF(OR(OR(Tasks[[#This Row],[Due Date]]=TODAY(),Tasks[[#This Row],[Due Date]]=PlanDueDate),Tasks[[#This Row],[Done?]]="Pending"),0,"")))),"")</f>
        <v>-1</v>
      </c>
      <c r="G23" s="27" t="s">
        <v>138</v>
      </c>
    </row>
    <row r="24" spans="2:7" ht="30" customHeight="1" x14ac:dyDescent="0.25">
      <c r="B24" s="11">
        <f ca="1">Tasks[[#This Row],[Status Icon]]</f>
        <v>-1</v>
      </c>
      <c r="C24" t="s">
        <v>41</v>
      </c>
      <c r="D24" s="12">
        <v>46086</v>
      </c>
      <c r="E24" s="13" t="s">
        <v>10</v>
      </c>
      <c r="F24" s="11">
        <f ca="1">IFERROR(IF(ISBLANK(Tasks[[#This Row],[Due Date]]),"",IF(Tasks[[#This Row],[Done?]]="Yes",1,IF(OR(Tasks[[#This Row],[Due Date]]&gt;PlanDueDate,Tasks[[#This Row],[Done?]]="No"),-1,IF(OR(OR(Tasks[[#This Row],[Due Date]]=TODAY(),Tasks[[#This Row],[Due Date]]=PlanDueDate),Tasks[[#This Row],[Done?]]="Pending"),0,"")))),"")</f>
        <v>-1</v>
      </c>
      <c r="G24" s="27" t="s">
        <v>141</v>
      </c>
    </row>
    <row r="25" spans="2:7" ht="30" customHeight="1" x14ac:dyDescent="0.25">
      <c r="B25" s="11">
        <f ca="1">Tasks[[#This Row],[Status Icon]]</f>
        <v>-1</v>
      </c>
      <c r="C25" t="s">
        <v>42</v>
      </c>
      <c r="D25" s="12">
        <v>46086</v>
      </c>
      <c r="E25" s="13" t="s">
        <v>10</v>
      </c>
      <c r="F25" s="11">
        <f ca="1">IFERROR(IF(ISBLANK(Tasks[[#This Row],[Due Date]]),"",IF(Tasks[[#This Row],[Done?]]="Yes",1,IF(OR(Tasks[[#This Row],[Due Date]]&gt;PlanDueDate,Tasks[[#This Row],[Done?]]="No"),-1,IF(OR(OR(Tasks[[#This Row],[Due Date]]=TODAY(),Tasks[[#This Row],[Due Date]]=PlanDueDate),Tasks[[#This Row],[Done?]]="Pending"),0,"")))),"")</f>
        <v>-1</v>
      </c>
      <c r="G25" s="27" t="s">
        <v>141</v>
      </c>
    </row>
    <row r="26" spans="2:7" ht="30" customHeight="1" x14ac:dyDescent="0.25">
      <c r="B26" s="11" t="str">
        <f ca="1">Tasks[[#This Row],[Status Icon]]</f>
        <v/>
      </c>
      <c r="C26" s="22" t="s">
        <v>88</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25">
      <c r="B27" s="11">
        <f ca="1">Tasks[[#This Row],[Status Icon]]</f>
        <v>-1</v>
      </c>
      <c r="C27" t="s">
        <v>22</v>
      </c>
      <c r="D27" s="12">
        <v>46093</v>
      </c>
      <c r="E27" s="13" t="s">
        <v>10</v>
      </c>
      <c r="F27" s="11">
        <f ca="1">IFERROR(IF(ISBLANK(Tasks[[#This Row],[Due Date]]),"",IF(Tasks[[#This Row],[Done?]]="Yes",1,IF(OR(Tasks[[#This Row],[Due Date]]&gt;PlanDueDate,Tasks[[#This Row],[Done?]]="No"),-1,IF(OR(OR(Tasks[[#This Row],[Due Date]]=TODAY(),Tasks[[#This Row],[Due Date]]=PlanDueDate),Tasks[[#This Row],[Done?]]="Pending"),0,"")))),"")</f>
        <v>-1</v>
      </c>
      <c r="G27" s="30" t="s">
        <v>138</v>
      </c>
    </row>
    <row r="28" spans="2:7" ht="30" customHeight="1" x14ac:dyDescent="0.25">
      <c r="B28" s="11">
        <f ca="1">Tasks[[#This Row],[Status Icon]]</f>
        <v>-1</v>
      </c>
      <c r="C28" t="s">
        <v>23</v>
      </c>
      <c r="D28" s="12">
        <v>46093</v>
      </c>
      <c r="E28" s="13" t="s">
        <v>10</v>
      </c>
      <c r="F28" s="11">
        <f ca="1">IFERROR(IF(ISBLANK(Tasks[[#This Row],[Due Date]]),"",IF(Tasks[[#This Row],[Done?]]="Yes",1,IF(OR(Tasks[[#This Row],[Due Date]]&gt;PlanDueDate,Tasks[[#This Row],[Done?]]="No"),-1,IF(OR(OR(Tasks[[#This Row],[Due Date]]=TODAY(),Tasks[[#This Row],[Due Date]]=PlanDueDate),Tasks[[#This Row],[Done?]]="Pending"),0,"")))),"")</f>
        <v>-1</v>
      </c>
      <c r="G28" s="11" t="s">
        <v>141</v>
      </c>
    </row>
    <row r="29" spans="2:7" ht="30" customHeight="1" x14ac:dyDescent="0.25">
      <c r="B29" s="11" t="str">
        <f ca="1">Tasks[[#This Row],[Status Icon]]</f>
        <v/>
      </c>
      <c r="C29" s="22" t="s">
        <v>89</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25">
      <c r="B30" s="11">
        <f ca="1">Tasks[[#This Row],[Status Icon]]</f>
        <v>-1</v>
      </c>
      <c r="C30" t="s">
        <v>24</v>
      </c>
      <c r="D30" s="12">
        <v>46093</v>
      </c>
      <c r="E30" s="13" t="s">
        <v>10</v>
      </c>
      <c r="F30" s="11">
        <f ca="1">IFERROR(IF(ISBLANK(Tasks[[#This Row],[Due Date]]),"",IF(Tasks[[#This Row],[Done?]]="Yes",1,IF(OR(Tasks[[#This Row],[Due Date]]&gt;PlanDueDate,Tasks[[#This Row],[Done?]]="No"),-1,IF(OR(OR(Tasks[[#This Row],[Due Date]]=TODAY(),Tasks[[#This Row],[Due Date]]=PlanDueDate),Tasks[[#This Row],[Done?]]="Pending"),0,"")))),"")</f>
        <v>-1</v>
      </c>
      <c r="G30" s="11" t="s">
        <v>140</v>
      </c>
    </row>
    <row r="31" spans="2:7" ht="30" customHeight="1" x14ac:dyDescent="0.25">
      <c r="B31" s="11" t="str">
        <f ca="1">Tasks[[#This Row],[Status Icon]]</f>
        <v/>
      </c>
      <c r="C31" s="14" t="s">
        <v>90</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25">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138</v>
      </c>
    </row>
    <row r="33" spans="2:7" ht="30" customHeight="1" x14ac:dyDescent="0.25">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140</v>
      </c>
    </row>
    <row r="34" spans="2:7" ht="30" customHeight="1" x14ac:dyDescent="0.25">
      <c r="B34" s="11">
        <f ca="1">Tasks[[#This Row],[Status Icon]]</f>
        <v>-1</v>
      </c>
      <c r="C34" t="s">
        <v>142</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140</v>
      </c>
    </row>
    <row r="35" spans="2:7" ht="30" customHeight="1" x14ac:dyDescent="0.25">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138</v>
      </c>
    </row>
    <row r="36" spans="2:7" ht="30" customHeight="1" x14ac:dyDescent="0.25">
      <c r="B36" s="11" t="str">
        <f ca="1">Tasks[[#This Row],[Status Icon]]</f>
        <v/>
      </c>
      <c r="C36" s="14" t="s">
        <v>91</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25">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138</v>
      </c>
    </row>
    <row r="38" spans="2:7" ht="30" customHeight="1" x14ac:dyDescent="0.25">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138</v>
      </c>
    </row>
    <row r="39" spans="2:7" ht="30" customHeight="1" x14ac:dyDescent="0.25">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138</v>
      </c>
    </row>
    <row r="40" spans="2:7" ht="30" customHeight="1" x14ac:dyDescent="0.25">
      <c r="B40" s="11" t="str">
        <f ca="1">Tasks[[#This Row],[Status Icon]]</f>
        <v/>
      </c>
      <c r="C40" s="14" t="s">
        <v>92</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25">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138</v>
      </c>
    </row>
    <row r="42" spans="2:7" ht="30" customHeight="1" x14ac:dyDescent="0.25">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138</v>
      </c>
    </row>
    <row r="43" spans="2:7" ht="30" customHeight="1" x14ac:dyDescent="0.25">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138</v>
      </c>
    </row>
    <row r="44" spans="2:7" ht="30" customHeight="1" x14ac:dyDescent="0.25">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138</v>
      </c>
    </row>
    <row r="45" spans="2:7" ht="30" customHeight="1" x14ac:dyDescent="0.25">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138</v>
      </c>
    </row>
    <row r="46" spans="2:7" ht="30" customHeight="1" x14ac:dyDescent="0.25">
      <c r="B46" s="11" t="str">
        <f ca="1">Tasks[[#This Row],[Status Icon]]</f>
        <v/>
      </c>
      <c r="C46" s="22" t="s">
        <v>96</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25">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140</v>
      </c>
    </row>
    <row r="48" spans="2:7" ht="30" customHeight="1" x14ac:dyDescent="0.25">
      <c r="B48" s="11">
        <f ca="1">Tasks[[#This Row],[Status Icon]]</f>
        <v>-1</v>
      </c>
      <c r="C48" t="s">
        <v>143</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140</v>
      </c>
    </row>
    <row r="49" spans="2:7" ht="30" customHeight="1" x14ac:dyDescent="0.25">
      <c r="B49" s="11">
        <f ca="1">Tasks[[#This Row],[Status Icon]]</f>
        <v>-1</v>
      </c>
      <c r="C49" t="s">
        <v>144</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140</v>
      </c>
    </row>
    <row r="50" spans="2:7" ht="30" customHeight="1" x14ac:dyDescent="0.25">
      <c r="B50" s="11">
        <f ca="1">Tasks[[#This Row],[Status Icon]]</f>
        <v>-1</v>
      </c>
      <c r="C50" t="s">
        <v>145</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140</v>
      </c>
    </row>
    <row r="51" spans="2:7" ht="30" customHeight="1" x14ac:dyDescent="0.2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138</v>
      </c>
    </row>
    <row r="52" spans="2:7" ht="30" customHeight="1" x14ac:dyDescent="0.2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138</v>
      </c>
    </row>
    <row r="53" spans="2:7" ht="30" customHeight="1" x14ac:dyDescent="0.2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138</v>
      </c>
    </row>
    <row r="54" spans="2:7" ht="30" customHeight="1" x14ac:dyDescent="0.25">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138</v>
      </c>
    </row>
    <row r="55" spans="2:7" ht="30" customHeight="1" x14ac:dyDescent="0.25">
      <c r="B55" s="11">
        <f ca="1">Tasks[[#This Row],[Status Icon]]</f>
        <v>-1</v>
      </c>
      <c r="C55" t="s">
        <v>48</v>
      </c>
      <c r="D55" s="12">
        <v>46142</v>
      </c>
      <c r="E55" s="13" t="s">
        <v>10</v>
      </c>
      <c r="F55" s="11">
        <f ca="1">IFERROR(IF(ISBLANK(Tasks[[#This Row],[Due Date]]),"",IF(Tasks[[#This Row],[Done?]]="Yes",1,IF(OR(Tasks[[#This Row],[Due Date]]&gt;PlanDueDate,Tasks[[#This Row],[Done?]]="No"),-1,IF(OR(OR(Tasks[[#This Row],[Due Date]]=TODAY(),Tasks[[#This Row],[Due Date]]=PlanDueDate),Tasks[[#This Row],[Done?]]="Pending"),0,"")))),"")</f>
        <v>-1</v>
      </c>
      <c r="G55" s="27" t="s">
        <v>140</v>
      </c>
    </row>
    <row r="56" spans="2:7" ht="30" customHeight="1" x14ac:dyDescent="0.25">
      <c r="B56" s="11" t="str">
        <f ca="1">Tasks[[#This Row],[Status Icon]]</f>
        <v/>
      </c>
      <c r="C56" s="22" t="s">
        <v>93</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25">
      <c r="B57" s="11" t="str">
        <f ca="1">Tasks[[#This Row],[Status Icon]]</f>
        <v/>
      </c>
      <c r="C57" t="s">
        <v>49</v>
      </c>
      <c r="D57" s="12"/>
      <c r="E57" s="13" t="s">
        <v>10</v>
      </c>
      <c r="F57" s="11" t="str">
        <f ca="1">IFERROR(IF(ISBLANK(Tasks[[#This Row],[Due Date]]),"",IF(Tasks[[#This Row],[Done?]]="Yes",1,IF(OR(Tasks[[#This Row],[Due Date]]&gt;PlanDueDate,Tasks[[#This Row],[Done?]]="No"),-1,IF(OR(OR(Tasks[[#This Row],[Due Date]]=TODAY(),Tasks[[#This Row],[Due Date]]=PlanDueDate),Tasks[[#This Row],[Done?]]="Pending"),0,"")))),"")</f>
        <v/>
      </c>
      <c r="G57" s="27"/>
    </row>
    <row r="58" spans="2:7" ht="30" customHeight="1" x14ac:dyDescent="0.25">
      <c r="B58" s="11" t="str">
        <f ca="1">Tasks[[#This Row],[Status Icon]]</f>
        <v/>
      </c>
      <c r="C58" t="s">
        <v>50</v>
      </c>
      <c r="D58" s="12"/>
      <c r="E58" s="13" t="s">
        <v>10</v>
      </c>
      <c r="F58" s="11" t="str">
        <f ca="1">IFERROR(IF(ISBLANK(Tasks[[#This Row],[Due Date]]),"",IF(Tasks[[#This Row],[Done?]]="Yes",1,IF(OR(Tasks[[#This Row],[Due Date]]&gt;PlanDueDate,Tasks[[#This Row],[Done?]]="No"),-1,IF(OR(OR(Tasks[[#This Row],[Due Date]]=TODAY(),Tasks[[#This Row],[Due Date]]=PlanDueDate),Tasks[[#This Row],[Done?]]="Pending"),0,"")))),"")</f>
        <v/>
      </c>
      <c r="G58" s="27"/>
    </row>
    <row r="59" spans="2:7" ht="30" customHeight="1" x14ac:dyDescent="0.25">
      <c r="B59" s="11" t="str">
        <f ca="1">Tasks[[#This Row],[Status Icon]]</f>
        <v/>
      </c>
      <c r="C59" t="s">
        <v>51</v>
      </c>
      <c r="D59" s="12"/>
      <c r="E59" s="13" t="s">
        <v>10</v>
      </c>
      <c r="F59" s="11" t="str">
        <f ca="1">IFERROR(IF(ISBLANK(Tasks[[#This Row],[Due Date]]),"",IF(Tasks[[#This Row],[Done?]]="Yes",1,IF(OR(Tasks[[#This Row],[Due Date]]&gt;PlanDueDate,Tasks[[#This Row],[Done?]]="No"),-1,IF(OR(OR(Tasks[[#This Row],[Due Date]]=TODAY(),Tasks[[#This Row],[Due Date]]=PlanDueDate),Tasks[[#This Row],[Done?]]="Pending"),0,"")))),"")</f>
        <v/>
      </c>
      <c r="G59" s="27"/>
    </row>
    <row r="60" spans="2:7" ht="30" customHeight="1" x14ac:dyDescent="0.25">
      <c r="B60" s="11" t="str">
        <f ca="1">Tasks[[#This Row],[Status Icon]]</f>
        <v/>
      </c>
      <c r="C60" t="s">
        <v>52</v>
      </c>
      <c r="D60" s="12"/>
      <c r="E60" s="13" t="s">
        <v>10</v>
      </c>
      <c r="F60" s="11" t="str">
        <f ca="1">IFERROR(IF(ISBLANK(Tasks[[#This Row],[Due Date]]),"",IF(Tasks[[#This Row],[Done?]]="Yes",1,IF(OR(Tasks[[#This Row],[Due Date]]&gt;PlanDueDate,Tasks[[#This Row],[Done?]]="No"),-1,IF(OR(OR(Tasks[[#This Row],[Due Date]]=TODAY(),Tasks[[#This Row],[Due Date]]=PlanDueDate),Tasks[[#This Row],[Done?]]="Pending"),0,"")))),"")</f>
        <v/>
      </c>
      <c r="G60" s="27"/>
    </row>
    <row r="61" spans="2:7" ht="30" customHeight="1" x14ac:dyDescent="0.25">
      <c r="B61" s="11" t="str">
        <f ca="1">Tasks[[#This Row],[Status Icon]]</f>
        <v/>
      </c>
      <c r="C61" s="22" t="s">
        <v>94</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25">
      <c r="B62" s="11" t="str">
        <f ca="1">Tasks[[#This Row],[Status Icon]]</f>
        <v/>
      </c>
      <c r="C62" t="s">
        <v>53</v>
      </c>
      <c r="D62" s="12"/>
      <c r="E62" s="13" t="s">
        <v>10</v>
      </c>
      <c r="F62" s="11" t="str">
        <f ca="1">IFERROR(IF(ISBLANK(Tasks[[#This Row],[Due Date]]),"",IF(Tasks[[#This Row],[Done?]]="Yes",1,IF(OR(Tasks[[#This Row],[Due Date]]&gt;PlanDueDate,Tasks[[#This Row],[Done?]]="No"),-1,IF(OR(OR(Tasks[[#This Row],[Due Date]]=TODAY(),Tasks[[#This Row],[Due Date]]=PlanDueDate),Tasks[[#This Row],[Done?]]="Pending"),0,"")))),"")</f>
        <v/>
      </c>
      <c r="G62" s="27"/>
    </row>
    <row r="63" spans="2:7" ht="30" customHeight="1" x14ac:dyDescent="0.25">
      <c r="B63" s="11" t="str">
        <f ca="1">Tasks[[#This Row],[Status Icon]]</f>
        <v/>
      </c>
      <c r="C63" t="s">
        <v>54</v>
      </c>
      <c r="D63" s="12"/>
      <c r="E63" s="13" t="s">
        <v>10</v>
      </c>
      <c r="F63" s="11" t="str">
        <f ca="1">IFERROR(IF(ISBLANK(Tasks[[#This Row],[Due Date]]),"",IF(Tasks[[#This Row],[Done?]]="Yes",1,IF(OR(Tasks[[#This Row],[Due Date]]&gt;PlanDueDate,Tasks[[#This Row],[Done?]]="No"),-1,IF(OR(OR(Tasks[[#This Row],[Due Date]]=TODAY(),Tasks[[#This Row],[Due Date]]=PlanDueDate),Tasks[[#This Row],[Done?]]="Pending"),0,"")))),"")</f>
        <v/>
      </c>
      <c r="G63" s="27"/>
    </row>
    <row r="64" spans="2:7" ht="30" customHeight="1" x14ac:dyDescent="0.25">
      <c r="B64" s="11" t="str">
        <f ca="1">Tasks[[#This Row],[Status Icon]]</f>
        <v/>
      </c>
      <c r="C64" t="s">
        <v>55</v>
      </c>
      <c r="D64" s="12"/>
      <c r="E64" s="13" t="s">
        <v>10</v>
      </c>
      <c r="F64" s="11" t="str">
        <f ca="1">IFERROR(IF(ISBLANK(Tasks[[#This Row],[Due Date]]),"",IF(Tasks[[#This Row],[Done?]]="Yes",1,IF(OR(Tasks[[#This Row],[Due Date]]&gt;PlanDueDate,Tasks[[#This Row],[Done?]]="No"),-1,IF(OR(OR(Tasks[[#This Row],[Due Date]]=TODAY(),Tasks[[#This Row],[Due Date]]=PlanDueDate),Tasks[[#This Row],[Done?]]="Pending"),0,"")))),"")</f>
        <v/>
      </c>
      <c r="G64" s="27"/>
    </row>
    <row r="65" spans="2:7" ht="30" customHeight="1" x14ac:dyDescent="0.25">
      <c r="B65" s="11" t="str">
        <f ca="1">Tasks[[#This Row],[Status Icon]]</f>
        <v/>
      </c>
      <c r="C65" s="22" t="s">
        <v>95</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25">
      <c r="B66" s="11" t="str">
        <f ca="1">Tasks[[#This Row],[Status Icon]]</f>
        <v/>
      </c>
      <c r="C66" t="s">
        <v>56</v>
      </c>
      <c r="D66" s="12"/>
      <c r="E66" s="13" t="s">
        <v>10</v>
      </c>
      <c r="F66" s="11" t="str">
        <f ca="1">IFERROR(IF(ISBLANK(Tasks[[#This Row],[Due Date]]),"",IF(Tasks[[#This Row],[Done?]]="Yes",1,IF(OR(Tasks[[#This Row],[Due Date]]&gt;PlanDueDate,Tasks[[#This Row],[Done?]]="No"),-1,IF(OR(OR(Tasks[[#This Row],[Due Date]]=TODAY(),Tasks[[#This Row],[Due Date]]=PlanDueDate),Tasks[[#This Row],[Done?]]="Pending"),0,"")))),"")</f>
        <v/>
      </c>
      <c r="G66" s="27"/>
    </row>
    <row r="67" spans="2:7" ht="30" customHeight="1" x14ac:dyDescent="0.25">
      <c r="B67" s="11" t="str">
        <f ca="1">Tasks[[#This Row],[Status Icon]]</f>
        <v/>
      </c>
      <c r="C67" t="s">
        <v>57</v>
      </c>
      <c r="D67" s="12"/>
      <c r="E67" s="13" t="s">
        <v>10</v>
      </c>
      <c r="F67" s="11" t="str">
        <f ca="1">IFERROR(IF(ISBLANK(Tasks[[#This Row],[Due Date]]),"",IF(Tasks[[#This Row],[Done?]]="Yes",1,IF(OR(Tasks[[#This Row],[Due Date]]&gt;PlanDueDate,Tasks[[#This Row],[Done?]]="No"),-1,IF(OR(OR(Tasks[[#This Row],[Due Date]]=TODAY(),Tasks[[#This Row],[Due Date]]=PlanDueDate),Tasks[[#This Row],[Done?]]="Pending"),0,"")))),"")</f>
        <v/>
      </c>
      <c r="G67" s="27"/>
    </row>
    <row r="68" spans="2:7" ht="30" customHeight="1" x14ac:dyDescent="0.25">
      <c r="B68" s="11" t="str">
        <f ca="1">Tasks[[#This Row],[Status Icon]]</f>
        <v/>
      </c>
      <c r="C68" t="s">
        <v>58</v>
      </c>
      <c r="D68" s="12"/>
      <c r="E68" s="13" t="s">
        <v>10</v>
      </c>
      <c r="F68" s="11" t="str">
        <f ca="1">IFERROR(IF(ISBLANK(Tasks[[#This Row],[Due Date]]),"",IF(Tasks[[#This Row],[Done?]]="Yes",1,IF(OR(Tasks[[#This Row],[Due Date]]&gt;PlanDueDate,Tasks[[#This Row],[Done?]]="No"),-1,IF(OR(OR(Tasks[[#This Row],[Due Date]]=TODAY(),Tasks[[#This Row],[Due Date]]=PlanDueDate),Tasks[[#This Row],[Done?]]="Pending"),0,"")))),"")</f>
        <v/>
      </c>
      <c r="G68" s="27"/>
    </row>
    <row r="69" spans="2:7" ht="30" customHeight="1" x14ac:dyDescent="0.25">
      <c r="B69" s="11" t="str">
        <f ca="1">Tasks[[#This Row],[Status Icon]]</f>
        <v/>
      </c>
      <c r="C69" t="s">
        <v>59</v>
      </c>
      <c r="D69" s="12"/>
      <c r="E69" s="13" t="s">
        <v>10</v>
      </c>
      <c r="F69" s="11" t="str">
        <f ca="1">IFERROR(IF(ISBLANK(Tasks[[#This Row],[Due Date]]),"",IF(Tasks[[#This Row],[Done?]]="Yes",1,IF(OR(Tasks[[#This Row],[Due Date]]&gt;PlanDueDate,Tasks[[#This Row],[Done?]]="No"),-1,IF(OR(OR(Tasks[[#This Row],[Due Date]]=TODAY(),Tasks[[#This Row],[Due Date]]=PlanDueDate),Tasks[[#This Row],[Done?]]="Pending"),0,"")))),"")</f>
        <v/>
      </c>
      <c r="G69" s="27"/>
    </row>
    <row r="70" spans="2:7" ht="30" customHeight="1" x14ac:dyDescent="0.25">
      <c r="B70" s="11" t="str">
        <f ca="1">Tasks[[#This Row],[Status Icon]]</f>
        <v/>
      </c>
      <c r="C70" s="22" t="s">
        <v>97</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25">
      <c r="B71" s="11" t="str">
        <f ca="1">Tasks[[#This Row],[Status Icon]]</f>
        <v/>
      </c>
      <c r="C71" t="s">
        <v>60</v>
      </c>
      <c r="D71" s="12"/>
      <c r="E71" s="13" t="s">
        <v>10</v>
      </c>
      <c r="F71" s="11" t="str">
        <f ca="1">IFERROR(IF(ISBLANK(Tasks[[#This Row],[Due Date]]),"",IF(Tasks[[#This Row],[Done?]]="Yes",1,IF(OR(Tasks[[#This Row],[Due Date]]&gt;PlanDueDate,Tasks[[#This Row],[Done?]]="No"),-1,IF(OR(OR(Tasks[[#This Row],[Due Date]]=TODAY(),Tasks[[#This Row],[Due Date]]=PlanDueDate),Tasks[[#This Row],[Done?]]="Pending"),0,"")))),"")</f>
        <v/>
      </c>
      <c r="G71" s="27"/>
    </row>
    <row r="72" spans="2:7" ht="30" customHeight="1" x14ac:dyDescent="0.25">
      <c r="B72" s="11" t="str">
        <f ca="1">Tasks[[#This Row],[Status Icon]]</f>
        <v/>
      </c>
      <c r="C72" t="s">
        <v>61</v>
      </c>
      <c r="D72" s="12"/>
      <c r="E72" s="13" t="s">
        <v>10</v>
      </c>
      <c r="F72" s="11" t="str">
        <f ca="1">IFERROR(IF(ISBLANK(Tasks[[#This Row],[Due Date]]),"",IF(Tasks[[#This Row],[Done?]]="Yes",1,IF(OR(Tasks[[#This Row],[Due Date]]&gt;PlanDueDate,Tasks[[#This Row],[Done?]]="No"),-1,IF(OR(OR(Tasks[[#This Row],[Due Date]]=TODAY(),Tasks[[#This Row],[Due Date]]=PlanDueDate),Tasks[[#This Row],[Done?]]="Pending"),0,"")))),"")</f>
        <v/>
      </c>
      <c r="G72" s="27"/>
    </row>
    <row r="73" spans="2:7" ht="30" customHeight="1" x14ac:dyDescent="0.25">
      <c r="B73" s="11" t="str">
        <f ca="1">Tasks[[#This Row],[Status Icon]]</f>
        <v/>
      </c>
      <c r="C73" t="s">
        <v>62</v>
      </c>
      <c r="D73" s="12"/>
      <c r="E73" s="13" t="s">
        <v>10</v>
      </c>
      <c r="F73" s="11" t="str">
        <f ca="1">IFERROR(IF(ISBLANK(Tasks[[#This Row],[Due Date]]),"",IF(Tasks[[#This Row],[Done?]]="Yes",1,IF(OR(Tasks[[#This Row],[Due Date]]&gt;PlanDueDate,Tasks[[#This Row],[Done?]]="No"),-1,IF(OR(OR(Tasks[[#This Row],[Due Date]]=TODAY(),Tasks[[#This Row],[Due Date]]=PlanDueDate),Tasks[[#This Row],[Done?]]="Pending"),0,"")))),"")</f>
        <v/>
      </c>
      <c r="G73" s="27"/>
    </row>
    <row r="74" spans="2:7" ht="30" customHeight="1" x14ac:dyDescent="0.25">
      <c r="B74" s="11" t="str">
        <f ca="1">Tasks[[#This Row],[Status Icon]]</f>
        <v/>
      </c>
      <c r="C74" t="s">
        <v>63</v>
      </c>
      <c r="D74" s="12"/>
      <c r="E74" s="13" t="s">
        <v>10</v>
      </c>
      <c r="F74" s="11" t="str">
        <f ca="1">IFERROR(IF(ISBLANK(Tasks[[#This Row],[Due Date]]),"",IF(Tasks[[#This Row],[Done?]]="Yes",1,IF(OR(Tasks[[#This Row],[Due Date]]&gt;PlanDueDate,Tasks[[#This Row],[Done?]]="No"),-1,IF(OR(OR(Tasks[[#This Row],[Due Date]]=TODAY(),Tasks[[#This Row],[Due Date]]=PlanDueDate),Tasks[[#This Row],[Done?]]="Pending"),0,"")))),"")</f>
        <v/>
      </c>
      <c r="G74" s="27"/>
    </row>
    <row r="75" spans="2:7" ht="30" customHeight="1" x14ac:dyDescent="0.25">
      <c r="B75" s="11" t="str">
        <f ca="1">Tasks[[#This Row],[Status Icon]]</f>
        <v/>
      </c>
      <c r="C75" t="s">
        <v>64</v>
      </c>
      <c r="D75" s="12"/>
      <c r="E75" s="13" t="s">
        <v>10</v>
      </c>
      <c r="F75" s="11" t="str">
        <f ca="1">IFERROR(IF(ISBLANK(Tasks[[#This Row],[Due Date]]),"",IF(Tasks[[#This Row],[Done?]]="Yes",1,IF(OR(Tasks[[#This Row],[Due Date]]&gt;PlanDueDate,Tasks[[#This Row],[Done?]]="No"),-1,IF(OR(OR(Tasks[[#This Row],[Due Date]]=TODAY(),Tasks[[#This Row],[Due Date]]=PlanDueDate),Tasks[[#This Row],[Done?]]="Pending"),0,"")))),"")</f>
        <v/>
      </c>
      <c r="G75" s="27"/>
    </row>
    <row r="76" spans="2:7" ht="30" customHeight="1" x14ac:dyDescent="0.25">
      <c r="B76" s="11" t="str">
        <f ca="1">Tasks[[#This Row],[Status Icon]]</f>
        <v/>
      </c>
      <c r="C76" s="22" t="s">
        <v>98</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25">
      <c r="B77" s="11" t="str">
        <f ca="1">Tasks[[#This Row],[Status Icon]]</f>
        <v/>
      </c>
      <c r="C77" t="s">
        <v>65</v>
      </c>
      <c r="D77" s="12"/>
      <c r="E77" s="13" t="s">
        <v>10</v>
      </c>
      <c r="F77" s="11" t="str">
        <f ca="1">IFERROR(IF(ISBLANK(Tasks[[#This Row],[Due Date]]),"",IF(Tasks[[#This Row],[Done?]]="Yes",1,IF(OR(Tasks[[#This Row],[Due Date]]&gt;PlanDueDate,Tasks[[#This Row],[Done?]]="No"),-1,IF(OR(OR(Tasks[[#This Row],[Due Date]]=TODAY(),Tasks[[#This Row],[Due Date]]=PlanDueDate),Tasks[[#This Row],[Done?]]="Pending"),0,"")))),"")</f>
        <v/>
      </c>
      <c r="G77" s="27"/>
    </row>
    <row r="78" spans="2:7" ht="30" customHeight="1" x14ac:dyDescent="0.25">
      <c r="B78" s="11" t="str">
        <f ca="1">Tasks[[#This Row],[Status Icon]]</f>
        <v/>
      </c>
      <c r="C78" t="s">
        <v>66</v>
      </c>
      <c r="D78" s="12"/>
      <c r="E78" s="13" t="s">
        <v>10</v>
      </c>
      <c r="F78" s="11" t="str">
        <f ca="1">IFERROR(IF(ISBLANK(Tasks[[#This Row],[Due Date]]),"",IF(Tasks[[#This Row],[Done?]]="Yes",1,IF(OR(Tasks[[#This Row],[Due Date]]&gt;PlanDueDate,Tasks[[#This Row],[Done?]]="No"),-1,IF(OR(OR(Tasks[[#This Row],[Due Date]]=TODAY(),Tasks[[#This Row],[Due Date]]=PlanDueDate),Tasks[[#This Row],[Done?]]="Pending"),0,"")))),"")</f>
        <v/>
      </c>
      <c r="G78" s="27"/>
    </row>
    <row r="79" spans="2:7" ht="30" customHeight="1" x14ac:dyDescent="0.25">
      <c r="B79" s="11" t="str">
        <f ca="1">Tasks[[#This Row],[Status Icon]]</f>
        <v/>
      </c>
      <c r="C79" t="s">
        <v>67</v>
      </c>
      <c r="D79" s="12"/>
      <c r="E79" s="13" t="s">
        <v>10</v>
      </c>
      <c r="F79" s="11" t="str">
        <f ca="1">IFERROR(IF(ISBLANK(Tasks[[#This Row],[Due Date]]),"",IF(Tasks[[#This Row],[Done?]]="Yes",1,IF(OR(Tasks[[#This Row],[Due Date]]&gt;PlanDueDate,Tasks[[#This Row],[Done?]]="No"),-1,IF(OR(OR(Tasks[[#This Row],[Due Date]]=TODAY(),Tasks[[#This Row],[Due Date]]=PlanDueDate),Tasks[[#This Row],[Done?]]="Pending"),0,"")))),"")</f>
        <v/>
      </c>
      <c r="G79" s="27"/>
    </row>
    <row r="80" spans="2:7" ht="30" customHeight="1" x14ac:dyDescent="0.25">
      <c r="B80" s="11" t="str">
        <f ca="1">Tasks[[#This Row],[Status Icon]]</f>
        <v/>
      </c>
      <c r="C80" t="s">
        <v>68</v>
      </c>
      <c r="D80" s="12"/>
      <c r="E80" s="13" t="s">
        <v>10</v>
      </c>
      <c r="F80" s="11" t="str">
        <f ca="1">IFERROR(IF(ISBLANK(Tasks[[#This Row],[Due Date]]),"",IF(Tasks[[#This Row],[Done?]]="Yes",1,IF(OR(Tasks[[#This Row],[Due Date]]&gt;PlanDueDate,Tasks[[#This Row],[Done?]]="No"),-1,IF(OR(OR(Tasks[[#This Row],[Due Date]]=TODAY(),Tasks[[#This Row],[Due Date]]=PlanDueDate),Tasks[[#This Row],[Done?]]="Pending"),0,"")))),"")</f>
        <v/>
      </c>
      <c r="G80" s="27"/>
    </row>
    <row r="81" spans="2:7" ht="30" customHeight="1" x14ac:dyDescent="0.25">
      <c r="B81" s="11" t="str">
        <f ca="1">Tasks[[#This Row],[Status Icon]]</f>
        <v/>
      </c>
      <c r="C81" s="22" t="s">
        <v>99</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25">
      <c r="B82" s="11">
        <f ca="1">Tasks[[#This Row],[Status Icon]]</f>
        <v>-1</v>
      </c>
      <c r="C82" t="s">
        <v>69</v>
      </c>
      <c r="D82" s="12">
        <v>46114</v>
      </c>
      <c r="E82" s="13" t="s">
        <v>10</v>
      </c>
      <c r="F82" s="11">
        <f ca="1">IFERROR(IF(ISBLANK(Tasks[[#This Row],[Due Date]]),"",IF(Tasks[[#This Row],[Done?]]="Yes",1,IF(OR(Tasks[[#This Row],[Due Date]]&gt;PlanDueDate,Tasks[[#This Row],[Done?]]="No"),-1,IF(OR(OR(Tasks[[#This Row],[Due Date]]=TODAY(),Tasks[[#This Row],[Due Date]]=PlanDueDate),Tasks[[#This Row],[Done?]]="Pending"),0,"")))),"")</f>
        <v>-1</v>
      </c>
      <c r="G82" s="27" t="s">
        <v>138</v>
      </c>
    </row>
    <row r="83" spans="2:7" ht="30" customHeight="1" x14ac:dyDescent="0.25">
      <c r="B83" s="11">
        <f ca="1">Tasks[[#This Row],[Status Icon]]</f>
        <v>-1</v>
      </c>
      <c r="C83" t="s">
        <v>70</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140</v>
      </c>
    </row>
    <row r="84" spans="2:7" ht="30" customHeight="1" x14ac:dyDescent="0.25">
      <c r="B84" s="11">
        <f ca="1">Tasks[[#This Row],[Status Icon]]</f>
        <v>-1</v>
      </c>
      <c r="C84" t="s">
        <v>71</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140</v>
      </c>
    </row>
    <row r="85" spans="2:7" ht="30" customHeight="1" x14ac:dyDescent="0.25">
      <c r="B85" s="11">
        <f ca="1">Tasks[[#This Row],[Status Icon]]</f>
        <v>-1</v>
      </c>
      <c r="C85" t="s">
        <v>72</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138</v>
      </c>
    </row>
    <row r="86" spans="2:7" ht="30" customHeight="1" x14ac:dyDescent="0.25">
      <c r="B86" s="11" t="str">
        <f ca="1">Tasks[[#This Row],[Status Icon]]</f>
        <v/>
      </c>
      <c r="C86" s="22" t="s">
        <v>73</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25">
      <c r="B87" s="11">
        <f ca="1">Tasks[[#This Row],[Status Icon]]</f>
        <v>-1</v>
      </c>
      <c r="C87" t="s">
        <v>74</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138</v>
      </c>
    </row>
    <row r="88" spans="2:7" ht="30" customHeight="1" x14ac:dyDescent="0.25">
      <c r="B88" s="11">
        <f ca="1">Tasks[[#This Row],[Status Icon]]</f>
        <v>-1</v>
      </c>
      <c r="C88" t="s">
        <v>75</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138</v>
      </c>
    </row>
    <row r="89" spans="2:7" ht="30" customHeight="1" x14ac:dyDescent="0.25">
      <c r="B89" s="11">
        <f ca="1">Tasks[[#This Row],[Status Icon]]</f>
        <v>-1</v>
      </c>
      <c r="C89" t="s">
        <v>76</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138</v>
      </c>
    </row>
    <row r="90" spans="2:7" ht="30" customHeight="1" x14ac:dyDescent="0.25">
      <c r="B90" s="11">
        <f ca="1">Tasks[[#This Row],[Status Icon]]</f>
        <v>-1</v>
      </c>
      <c r="C90" t="s">
        <v>77</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138</v>
      </c>
    </row>
    <row r="91" spans="2:7" ht="30" customHeight="1" x14ac:dyDescent="0.25">
      <c r="B91" s="11">
        <f ca="1">Tasks[[#This Row],[Status Icon]]</f>
        <v>-1</v>
      </c>
      <c r="C91" t="s">
        <v>78</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138</v>
      </c>
    </row>
    <row r="92" spans="2:7" ht="30" customHeight="1" x14ac:dyDescent="0.25">
      <c r="B92" s="11">
        <f ca="1">Tasks[[#This Row],[Status Icon]]</f>
        <v>-1</v>
      </c>
      <c r="C92" t="s">
        <v>79</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138</v>
      </c>
    </row>
    <row r="93" spans="2:7" ht="30" customHeight="1" x14ac:dyDescent="0.25">
      <c r="B93" s="11" t="str">
        <f ca="1">Tasks[[#This Row],[Status Icon]]</f>
        <v/>
      </c>
      <c r="C93" s="22" t="s">
        <v>80</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25">
      <c r="B94" s="11">
        <f ca="1">Tasks[[#This Row],[Status Icon]]</f>
        <v>-1</v>
      </c>
      <c r="C94" t="s">
        <v>81</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138</v>
      </c>
    </row>
    <row r="95" spans="2:7" ht="30" customHeight="1" x14ac:dyDescent="0.25">
      <c r="B95" s="11">
        <f ca="1">Tasks[[#This Row],[Status Icon]]</f>
        <v>-1</v>
      </c>
      <c r="C95" t="s">
        <v>82</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138</v>
      </c>
    </row>
    <row r="96" spans="2:7" ht="30" customHeight="1" x14ac:dyDescent="0.25">
      <c r="B96" s="11">
        <f ca="1">Tasks[[#This Row],[Status Icon]]</f>
        <v>-1</v>
      </c>
      <c r="C96" t="s">
        <v>83</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138</v>
      </c>
    </row>
    <row r="97" spans="2:7" ht="30" customHeight="1" x14ac:dyDescent="0.25">
      <c r="B97" s="11">
        <f ca="1">Tasks[[#This Row],[Status Icon]]</f>
        <v>-1</v>
      </c>
      <c r="C97" t="s">
        <v>84</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138</v>
      </c>
    </row>
    <row r="98" spans="2:7" ht="30" customHeight="1" x14ac:dyDescent="0.25">
      <c r="B98" s="11" t="str">
        <f ca="1">Tasks[[#This Row],[Status Icon]]</f>
        <v/>
      </c>
      <c r="C98" s="22" t="s">
        <v>100</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25">
      <c r="B99" s="11">
        <f ca="1">Tasks[[#This Row],[Status Icon]]</f>
        <v>-1</v>
      </c>
      <c r="C99" t="s">
        <v>101</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138</v>
      </c>
    </row>
    <row r="100" spans="2:7" ht="30" customHeight="1" x14ac:dyDescent="0.25">
      <c r="B100" s="11">
        <f ca="1">Tasks[[#This Row],[Status Icon]]</f>
        <v>-1</v>
      </c>
      <c r="C100" t="s">
        <v>102</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138</v>
      </c>
    </row>
    <row r="101" spans="2:7" ht="30" customHeight="1" x14ac:dyDescent="0.25">
      <c r="B101" s="11">
        <f ca="1">Tasks[[#This Row],[Status Icon]]</f>
        <v>-1</v>
      </c>
      <c r="C101" t="s">
        <v>103</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138</v>
      </c>
    </row>
    <row r="102" spans="2:7" ht="30" customHeight="1" x14ac:dyDescent="0.25">
      <c r="B102" s="11">
        <f ca="1">Tasks[[#This Row],[Status Icon]]</f>
        <v>-1</v>
      </c>
      <c r="C102" t="s">
        <v>104</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138</v>
      </c>
    </row>
    <row r="103" spans="2:7" ht="30" customHeight="1" x14ac:dyDescent="0.25">
      <c r="B103" s="11" t="str">
        <f ca="1">Tasks[[#This Row],[Status Icon]]</f>
        <v/>
      </c>
      <c r="C103" s="22" t="s">
        <v>105</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25">
      <c r="B104" s="11">
        <f ca="1">Tasks[[#This Row],[Status Icon]]</f>
        <v>-1</v>
      </c>
      <c r="C104" t="s">
        <v>106</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138</v>
      </c>
    </row>
    <row r="105" spans="2:7" ht="30" customHeight="1" x14ac:dyDescent="0.25">
      <c r="B105" s="11">
        <f ca="1">Tasks[[#This Row],[Status Icon]]</f>
        <v>-1</v>
      </c>
      <c r="C105" t="s">
        <v>107</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138</v>
      </c>
    </row>
    <row r="106" spans="2:7" ht="30" customHeight="1" x14ac:dyDescent="0.25">
      <c r="B106" s="11">
        <f ca="1">Tasks[[#This Row],[Status Icon]]</f>
        <v>-1</v>
      </c>
      <c r="C106" t="s">
        <v>108</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138</v>
      </c>
    </row>
    <row r="107" spans="2:7" ht="30" customHeight="1" x14ac:dyDescent="0.25">
      <c r="B107" s="11">
        <f ca="1">Tasks[[#This Row],[Status Icon]]</f>
        <v>-1</v>
      </c>
      <c r="C107" t="s">
        <v>109</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138</v>
      </c>
    </row>
    <row r="108" spans="2:7" ht="30" customHeight="1" x14ac:dyDescent="0.25">
      <c r="B108" s="11" t="str">
        <f ca="1">Tasks[[#This Row],[Status Icon]]</f>
        <v/>
      </c>
      <c r="C108" s="22" t="s">
        <v>110</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25">
      <c r="B109" s="11">
        <f ca="1">Tasks[[#This Row],[Status Icon]]</f>
        <v>-1</v>
      </c>
      <c r="C109" t="s">
        <v>111</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138</v>
      </c>
    </row>
    <row r="110" spans="2:7" ht="30" customHeight="1" x14ac:dyDescent="0.25">
      <c r="B110" s="11">
        <f ca="1">Tasks[[#This Row],[Status Icon]]</f>
        <v>-1</v>
      </c>
      <c r="C110" t="s">
        <v>112</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138</v>
      </c>
    </row>
    <row r="111" spans="2:7" ht="30" customHeight="1" x14ac:dyDescent="0.25">
      <c r="B111" s="11" t="str">
        <f ca="1">Tasks[[#This Row],[Status Icon]]</f>
        <v/>
      </c>
      <c r="C111" s="22" t="s">
        <v>113</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25">
      <c r="B112" s="11">
        <f ca="1">Tasks[[#This Row],[Status Icon]]</f>
        <v>-1</v>
      </c>
      <c r="C112" t="s">
        <v>114</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140</v>
      </c>
    </row>
    <row r="113" spans="2:7" ht="30" customHeight="1" x14ac:dyDescent="0.25">
      <c r="B113" s="11">
        <f ca="1">Tasks[[#This Row],[Status Icon]]</f>
        <v>-1</v>
      </c>
      <c r="C113" t="s">
        <v>115</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138</v>
      </c>
    </row>
    <row r="114" spans="2:7" ht="30" customHeight="1" x14ac:dyDescent="0.25">
      <c r="B114" s="11">
        <f ca="1">Tasks[[#This Row],[Status Icon]]</f>
        <v>-1</v>
      </c>
      <c r="C114" t="s">
        <v>116</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138</v>
      </c>
    </row>
    <row r="115" spans="2:7" ht="30" customHeight="1" x14ac:dyDescent="0.25">
      <c r="B115" s="11">
        <f ca="1">Tasks[[#This Row],[Status Icon]]</f>
        <v>-1</v>
      </c>
      <c r="C115" t="s">
        <v>117</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138</v>
      </c>
    </row>
    <row r="116" spans="2:7" ht="30" customHeight="1" x14ac:dyDescent="0.25">
      <c r="B116" s="11" t="str">
        <f ca="1">Tasks[[#This Row],[Status Icon]]</f>
        <v/>
      </c>
      <c r="C116" s="22" t="s">
        <v>118</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25">
      <c r="B117" s="11">
        <f ca="1">Tasks[[#This Row],[Status Icon]]</f>
        <v>-1</v>
      </c>
      <c r="C117" t="s">
        <v>119</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138</v>
      </c>
    </row>
    <row r="118" spans="2:7" ht="30" customHeight="1" x14ac:dyDescent="0.25">
      <c r="B118" s="11">
        <f ca="1">Tasks[[#This Row],[Status Icon]]</f>
        <v>-1</v>
      </c>
      <c r="C118" t="s">
        <v>120</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138</v>
      </c>
    </row>
    <row r="119" spans="2:7" ht="30" customHeight="1" x14ac:dyDescent="0.25">
      <c r="B119" s="11" t="str">
        <f ca="1">Tasks[[#This Row],[Status Icon]]</f>
        <v/>
      </c>
      <c r="C119" s="22" t="s">
        <v>121</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25">
      <c r="B120" s="11">
        <f ca="1">Tasks[[#This Row],[Status Icon]]</f>
        <v>-1</v>
      </c>
      <c r="C120" t="s">
        <v>122</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141</v>
      </c>
    </row>
    <row r="121" spans="2:7" ht="30" customHeight="1" x14ac:dyDescent="0.25">
      <c r="B121" s="11">
        <f ca="1">Tasks[[#This Row],[Status Icon]]</f>
        <v>-1</v>
      </c>
      <c r="C121" t="s">
        <v>123</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140</v>
      </c>
    </row>
    <row r="122" spans="2:7" ht="30" customHeight="1" x14ac:dyDescent="0.25">
      <c r="B122" s="11">
        <f ca="1">Tasks[[#This Row],[Status Icon]]</f>
        <v>-1</v>
      </c>
      <c r="C122" t="s">
        <v>124</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141</v>
      </c>
    </row>
    <row r="123" spans="2:7" ht="30" customHeight="1" x14ac:dyDescent="0.25">
      <c r="B123" s="11">
        <f ca="1">Tasks[[#This Row],[Status Icon]]</f>
        <v>-1</v>
      </c>
      <c r="C123" t="s">
        <v>125</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141</v>
      </c>
    </row>
    <row r="124" spans="2:7" ht="30" customHeight="1" x14ac:dyDescent="0.25">
      <c r="B124" s="11" t="str">
        <f ca="1">Tasks[[#This Row],[Status Icon]]</f>
        <v/>
      </c>
      <c r="C124" s="22" t="s">
        <v>126</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25">
      <c r="B125" s="11">
        <f ca="1">Tasks[[#This Row],[Status Icon]]</f>
        <v>-1</v>
      </c>
      <c r="C125" t="s">
        <v>127</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138</v>
      </c>
    </row>
    <row r="126" spans="2:7" ht="30" customHeight="1" x14ac:dyDescent="0.25">
      <c r="B126" s="11">
        <f ca="1">Tasks[[#This Row],[Status Icon]]</f>
        <v>-1</v>
      </c>
      <c r="C126" t="s">
        <v>128</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141</v>
      </c>
    </row>
    <row r="127" spans="2:7" ht="30" customHeight="1" x14ac:dyDescent="0.25">
      <c r="B127" s="11">
        <f ca="1">Tasks[[#This Row],[Status Icon]]</f>
        <v>-1</v>
      </c>
      <c r="C127" t="s">
        <v>129</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140</v>
      </c>
    </row>
    <row r="128" spans="2:7" ht="30" customHeight="1" x14ac:dyDescent="0.25">
      <c r="B128" s="11">
        <f ca="1">Tasks[[#This Row],[Status Icon]]</f>
        <v>-1</v>
      </c>
      <c r="C128" t="s">
        <v>130</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138</v>
      </c>
    </row>
    <row r="129" spans="2:7" ht="30" customHeight="1" x14ac:dyDescent="0.25">
      <c r="B129" s="11">
        <f ca="1">Tasks[[#This Row],[Status Icon]]</f>
        <v>-1</v>
      </c>
      <c r="C129" t="s">
        <v>131</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140</v>
      </c>
    </row>
    <row r="130" spans="2:7" ht="30" customHeight="1" x14ac:dyDescent="0.25">
      <c r="B130" s="11" t="str">
        <f ca="1">Tasks[[#This Row],[Status Icon]]</f>
        <v/>
      </c>
      <c r="C130" s="22" t="s">
        <v>132</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25">
      <c r="B131" s="11">
        <f ca="1">Tasks[[#This Row],[Status Icon]]</f>
        <v>-1</v>
      </c>
      <c r="C131" t="s">
        <v>133</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140</v>
      </c>
    </row>
    <row r="132" spans="2:7" ht="30" customHeight="1" x14ac:dyDescent="0.25">
      <c r="B132" s="11">
        <f ca="1">Tasks[[#This Row],[Status Icon]]</f>
        <v>-1</v>
      </c>
      <c r="C132" t="s">
        <v>147</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138</v>
      </c>
    </row>
    <row r="133" spans="2:7" ht="30" customHeight="1" x14ac:dyDescent="0.25">
      <c r="B133" s="11">
        <f ca="1">Tasks[[#This Row],[Status Icon]]</f>
        <v>-1</v>
      </c>
      <c r="C133" t="s">
        <v>134</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138</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2026-02-23T20:30:03Z</dcterms:modified>
  <cp:category/>
  <cp:contentStatus/>
</cp:coreProperties>
</file>