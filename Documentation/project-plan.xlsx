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F6E6080C-E067-4E4C-BCD1-62A11F9F1144}"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<sst xmlns="http://schemas.openxmlformats.org/spreadsheetml/2006/main" count="347" uniqueCount="149">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</sst>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4" zoomScaleNormal="100" workbookViewId="0">
      <selection activeCell="M15" sqref="M15"/>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25">
      <c r="B15" s="11">
        <f ca="1">Tasks[[#This Row],[Status Icon]]</f>
        <v>0</v>
      </c>
      <c r="C15" t="s">
        <v>19</v>
      </c>
      <c r="D15" s="12">
        <v>46079</v>
      </c>
      <c r="E15" s="13" t="s">
        <v>148</v>
      </c>
      <c r="F15" s="11">
        <f ca="1">IFERROR(IF(ISBLANK(Tasks[[#This Row],[Due Date]]),"",IF(Tasks[[#This Row],[Done?]]="Yes",1,IF(OR(Tasks[[#This Row],[Due Date]]&gt;PlanDueDate,Tasks[[#This Row],[Done?]]="No"),-1,IF(OR(OR(Tasks[[#This Row],[Due Date]]=TODAY(),Tasks[[#This Row],[Due Date]]=PlanDueDate),Tasks[[#This Row],[Done?]]="Pending"),0,"")))),"")</f>
        <v>0</v>
      </c>
      <c r="G15" s="27" t="s">
        <v>139</v>
      </c>
    </row>
    <row r="16" spans="2:7" ht="30" customHeight="1" x14ac:dyDescent="0.25">
      <c r="B16" s="11">
        <f ca="1">Tasks[[#This Row],[Status Icon]]</f>
        <v>0</v>
      </c>
      <c r="C16" t="s">
        <v>20</v>
      </c>
      <c r="D16" s="12">
        <v>46079</v>
      </c>
      <c r="E16" s="13" t="s">
        <v>148</v>
      </c>
      <c r="F16" s="11">
        <f ca="1">IFERROR(IF(ISBLANK(Tasks[[#This Row],[Due Date]]),"",IF(Tasks[[#This Row],[Done?]]="Yes",1,IF(OR(Tasks[[#This Row],[Due Date]]&gt;PlanDueDate,Tasks[[#This Row],[Done?]]="No"),-1,IF(OR(OR(Tasks[[#This Row],[Due Date]]=TODAY(),Tasks[[#This Row],[Due Date]]=PlanDueDate),Tasks[[#This Row],[Done?]]="Pending"),0,"")))),"")</f>
        <v>0</v>
      </c>
      <c r="G16" s="27" t="s">
        <v>139</v>
      </c>
    </row>
    <row r="17" spans="2:7" ht="30" customHeight="1" x14ac:dyDescent="0.2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2026-02-25T21:29:12Z</dcterms:modified>
  <cp:category/>
  <cp:contentStatus/>
</cp:coreProperties>
</file>