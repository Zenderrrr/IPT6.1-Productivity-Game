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9A580BEF-E79A-4724-949F-93D9A6ECD312}"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<sst xmlns="http://schemas.openxmlformats.org/spreadsheetml/2006/main" count="347" uniqueCount="149">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</sst>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6" zoomScaleNormal="100" workbookViewId="0">
      <selection activeCell="G21" sqref="G21"/>
    </sheetView>
  </sheetViews>
  <sheetFormatPr baseColWidth="10" defaultColWidth="8.71093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145</v>
      </c>
      <c r="C5" s="36"/>
      <c r="D5" s="36"/>
      <c r="E5" s="36" t="s">
        <v>135</v>
      </c>
      <c r="F5" s="36"/>
      <c r="G5" s="36"/>
    </row>
    <row r="6" spans="2:7" ht="50.1" customHeight="1" x14ac:dyDescent="0.25">
      <c r="B6" s="3" t="s">
        <v>5</v>
      </c>
      <c r="C6" s="3" t="s">
        <v>6</v>
      </c>
      <c r="D6" s="6" t="s">
        <v>7</v>
      </c>
      <c r="E6" s="6" t="s">
        <v>8</v>
      </c>
      <c r="F6" s="6" t="s">
        <v>9</v>
      </c>
      <c r="G6" s="3" t="s">
        <v>136</v>
      </c>
    </row>
    <row r="7" spans="2:7" ht="30" customHeight="1" x14ac:dyDescent="0.2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2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2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2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2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2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2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2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25">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2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25">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25">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25">
      <c r="B22" s="11">
        <f ca="1">Tasks[[#This Row],[Status Icon]]</f>
        <v>0</v>
      </c>
      <c r="C22" t="s">
        <v>39</v>
      </c>
      <c r="D22" s="12">
        <v>46086</v>
      </c>
      <c r="E22" s="13" t="s">
        <v>148</v>
      </c>
      <c r="F22" s="11">
        <f ca="1">IFERROR(IF(ISBLANK(Tasks[[#This Row],[Due Date]]),"",IF(Tasks[[#This Row],[Done?]]="Yes",1,IF(OR(Tasks[[#This Row],[Due Date]]&gt;PlanDueDate,Tasks[[#This Row],[Done?]]="No"),-1,IF(OR(OR(Tasks[[#This Row],[Due Date]]=TODAY(),Tasks[[#This Row],[Due Date]]=PlanDueDate),Tasks[[#This Row],[Done?]]="Pending"),0,"")))),"")</f>
        <v>0</v>
      </c>
      <c r="G22" s="27" t="s">
        <v>139</v>
      </c>
    </row>
    <row r="23" spans="2:7" ht="30" customHeight="1" x14ac:dyDescent="0.25">
      <c r="B23" s="11">
        <f ca="1">Tasks[[#This Row],[Status Icon]]</f>
        <v>0</v>
      </c>
      <c r="C23" t="s">
        <v>40</v>
      </c>
      <c r="D23" s="12">
        <v>46086</v>
      </c>
      <c r="E23" s="13" t="s">
        <v>148</v>
      </c>
      <c r="F23" s="11">
        <f ca="1">IFERROR(IF(ISBLANK(Tasks[[#This Row],[Due Date]]),"",IF(Tasks[[#This Row],[Done?]]="Yes",1,IF(OR(Tasks[[#This Row],[Due Date]]&gt;PlanDueDate,Tasks[[#This Row],[Done?]]="No"),-1,IF(OR(OR(Tasks[[#This Row],[Due Date]]=TODAY(),Tasks[[#This Row],[Due Date]]=PlanDueDate),Tasks[[#This Row],[Done?]]="Pending"),0,"")))),"")</f>
        <v>0</v>
      </c>
      <c r="G23" s="27" t="s">
        <v>137</v>
      </c>
    </row>
    <row r="24" spans="2:7" ht="30" customHeight="1" x14ac:dyDescent="0.2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25">
      <c r="B25" s="11">
        <f ca="1">Tasks[[#This Row],[Status Icon]]</f>
        <v>0</v>
      </c>
      <c r="C25" t="s">
        <v>42</v>
      </c>
      <c r="D25" s="12">
        <v>46086</v>
      </c>
      <c r="E25" s="13" t="s">
        <v>148</v>
      </c>
      <c r="F25" s="11">
        <f ca="1">IFERROR(IF(ISBLANK(Tasks[[#This Row],[Due Date]]),"",IF(Tasks[[#This Row],[Done?]]="Yes",1,IF(OR(Tasks[[#This Row],[Due Date]]&gt;PlanDueDate,Tasks[[#This Row],[Done?]]="No"),-1,IF(OR(OR(Tasks[[#This Row],[Due Date]]=TODAY(),Tasks[[#This Row],[Due Date]]=PlanDueDate),Tasks[[#This Row],[Done?]]="Pending"),0,"")))),"")</f>
        <v>0</v>
      </c>
      <c r="G25" s="27" t="s">
        <v>140</v>
      </c>
    </row>
    <row r="26" spans="2:7" ht="30" customHeight="1" x14ac:dyDescent="0.2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2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2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2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2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2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2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2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2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2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2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2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2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2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2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2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2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2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2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2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2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2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2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2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2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2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2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2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2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2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2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2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2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2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2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2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2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2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2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2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2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2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2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2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2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2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2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2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2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2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2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2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2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2026-03-04T18:45:32Z</dcterms:modified>
  <cp:category/>
  <cp:contentStatus/>
</cp:coreProperties>
</file>