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sanji\Documents\GitHub\IPT6.1-Productivity-Game\Documentation\"/>
    </mc:Choice>
  </mc:AlternateContent>
  <xr:revisionPtr revIDLastSave="0" documentId="13_ncr:1_{FD307442-94B5-43E5-AB6D-26BCAC9AFC2D}" xr6:coauthVersionLast="47" xr6:coauthVersionMax="47" xr10:uidLastSave="{00000000-0000-0000-0000-000000000000}"/>
  <bookViews>
    <workbookView xWindow="-108" yWindow="-108" windowWidth="23256" windowHeight="12456" xr2:uid="{00000000-000D-0000-FFFF-FFFF00000000}"/>
  </bookViews>
  <sheets>
    <sheet name="Idea Planner" sheetId="1" r:id="rId1"/>
  </sheets>
  <definedNames>
    <definedName name="ColumnTitle1">Tasks[[#Headers],[ Task Status Indicator]]</definedName>
    <definedName name="ColumnTitleRegion1..G5.1">'Idea Planner'!$B$4</definedName>
    <definedName name="_xlnm.Print_Titles" localSheetId="0">'Idea Planner'!$6:$6</definedName>
    <definedName name="PlanDueDate">'Idea Planner'!$E$3</definedName>
    <definedName name="RowTitleRegion1..E3">'Idea Planner'!$D$2</definedName>
    <definedName name="RowTitleRegion2..G3">'Idea Planner'!$F$2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 l="1"/>
  <c r="B33" i="1" s="1"/>
  <c r="F78" i="1"/>
  <c r="B78" i="1" s="1"/>
  <c r="F79" i="1"/>
  <c r="B79" i="1" s="1"/>
  <c r="F49" i="1"/>
  <c r="B49" i="1" s="1"/>
  <c r="F48" i="1"/>
  <c r="B48" i="1" s="1"/>
  <c r="F47" i="1"/>
  <c r="B47" i="1" s="1"/>
  <c r="F25" i="1"/>
  <c r="B25" i="1" s="1"/>
  <c r="F24" i="1"/>
  <c r="B24" i="1" s="1"/>
  <c r="F23" i="1"/>
  <c r="B23" i="1" s="1"/>
  <c r="F22" i="1"/>
  <c r="B22" i="1" s="1"/>
  <c r="F21" i="1"/>
  <c r="B21" i="1" s="1"/>
  <c r="F20" i="1"/>
  <c r="B20" i="1" s="1"/>
  <c r="F19" i="1"/>
  <c r="B19" i="1" s="1"/>
  <c r="F26" i="1"/>
  <c r="B26" i="1" s="1"/>
  <c r="F27" i="1"/>
  <c r="B27" i="1" s="1"/>
  <c r="F28" i="1"/>
  <c r="B28" i="1" s="1"/>
  <c r="F29" i="1"/>
  <c r="B29" i="1" s="1"/>
  <c r="F11" i="1"/>
  <c r="B11" i="1" s="1"/>
  <c r="F32" i="1"/>
  <c r="B32" i="1" s="1"/>
  <c r="F115" i="1"/>
  <c r="B115" i="1" s="1"/>
  <c r="F116" i="1"/>
  <c r="B116" i="1" s="1"/>
  <c r="F117" i="1"/>
  <c r="B117" i="1" s="1"/>
  <c r="F118" i="1"/>
  <c r="B118" i="1" s="1"/>
  <c r="F119" i="1"/>
  <c r="B119" i="1" s="1"/>
  <c r="F120" i="1"/>
  <c r="B120" i="1" s="1"/>
  <c r="F121" i="1"/>
  <c r="B121" i="1" s="1"/>
  <c r="F122" i="1"/>
  <c r="B122" i="1" s="1"/>
  <c r="F123" i="1"/>
  <c r="B123" i="1" s="1"/>
  <c r="F124" i="1"/>
  <c r="B124" i="1" s="1"/>
  <c r="F125" i="1"/>
  <c r="B125" i="1" s="1"/>
  <c r="F126" i="1"/>
  <c r="B126" i="1" s="1"/>
  <c r="F127" i="1"/>
  <c r="B127" i="1" s="1"/>
  <c r="F128" i="1"/>
  <c r="B128" i="1" s="1"/>
  <c r="F129" i="1"/>
  <c r="B129" i="1" s="1"/>
  <c r="F130" i="1"/>
  <c r="B130" i="1" s="1"/>
  <c r="F131" i="1"/>
  <c r="B131" i="1" s="1"/>
  <c r="F132" i="1"/>
  <c r="B132" i="1" s="1"/>
  <c r="F101" i="1"/>
  <c r="B101" i="1" s="1"/>
  <c r="F102" i="1"/>
  <c r="B102" i="1" s="1"/>
  <c r="F103" i="1"/>
  <c r="B103" i="1" s="1"/>
  <c r="F104" i="1"/>
  <c r="B104" i="1" s="1"/>
  <c r="F105" i="1"/>
  <c r="B105" i="1" s="1"/>
  <c r="F106" i="1"/>
  <c r="B106" i="1" s="1"/>
  <c r="F107" i="1"/>
  <c r="B107" i="1" s="1"/>
  <c r="F108" i="1"/>
  <c r="B108" i="1" s="1"/>
  <c r="F109" i="1"/>
  <c r="B109" i="1" s="1"/>
  <c r="F110" i="1"/>
  <c r="B110" i="1" s="1"/>
  <c r="F111" i="1"/>
  <c r="B111" i="1" s="1"/>
  <c r="F112" i="1"/>
  <c r="B112" i="1" s="1"/>
  <c r="F113" i="1"/>
  <c r="B113" i="1" s="1"/>
  <c r="F114" i="1"/>
  <c r="B114" i="1" s="1"/>
  <c r="F8" i="1"/>
  <c r="F100" i="1"/>
  <c r="B100" i="1" s="1"/>
  <c r="F99" i="1"/>
  <c r="B99" i="1" s="1"/>
  <c r="F98" i="1"/>
  <c r="B98" i="1" s="1"/>
  <c r="F97" i="1"/>
  <c r="B97" i="1" s="1"/>
  <c r="F96" i="1"/>
  <c r="B96" i="1" s="1"/>
  <c r="F95" i="1"/>
  <c r="B95" i="1" s="1"/>
  <c r="F94" i="1"/>
  <c r="B94" i="1" s="1"/>
  <c r="F93" i="1"/>
  <c r="B93" i="1" s="1"/>
  <c r="F92" i="1"/>
  <c r="B92" i="1" s="1"/>
  <c r="F91" i="1"/>
  <c r="B91" i="1" s="1"/>
  <c r="F90" i="1"/>
  <c r="B90" i="1" s="1"/>
  <c r="F89" i="1"/>
  <c r="B89" i="1" s="1"/>
  <c r="F88" i="1"/>
  <c r="B88" i="1" s="1"/>
  <c r="F87" i="1"/>
  <c r="B87" i="1" s="1"/>
  <c r="F86" i="1"/>
  <c r="B86" i="1" s="1"/>
  <c r="F85" i="1"/>
  <c r="B85" i="1" s="1"/>
  <c r="F84" i="1"/>
  <c r="B84" i="1" s="1"/>
  <c r="F83" i="1"/>
  <c r="B83" i="1" s="1"/>
  <c r="F82" i="1"/>
  <c r="B82" i="1" s="1"/>
  <c r="F81" i="1"/>
  <c r="B81" i="1" s="1"/>
  <c r="F80" i="1"/>
  <c r="B80" i="1" s="1"/>
  <c r="F77" i="1"/>
  <c r="B77" i="1" s="1"/>
  <c r="F76" i="1"/>
  <c r="B76" i="1" s="1"/>
  <c r="F75" i="1"/>
  <c r="B75" i="1" s="1"/>
  <c r="F74" i="1"/>
  <c r="B74" i="1" s="1"/>
  <c r="F73" i="1"/>
  <c r="B73" i="1" s="1"/>
  <c r="F45" i="1"/>
  <c r="B45" i="1" s="1"/>
  <c r="F46" i="1"/>
  <c r="B46" i="1" s="1"/>
  <c r="F50" i="1"/>
  <c r="B50" i="1" s="1"/>
  <c r="F51" i="1"/>
  <c r="B51" i="1" s="1"/>
  <c r="F52" i="1"/>
  <c r="B52" i="1" s="1"/>
  <c r="F53" i="1"/>
  <c r="B53" i="1" s="1"/>
  <c r="F54" i="1"/>
  <c r="B54" i="1" s="1"/>
  <c r="F55" i="1"/>
  <c r="B55" i="1" s="1"/>
  <c r="F56" i="1"/>
  <c r="B56" i="1" s="1"/>
  <c r="F57" i="1"/>
  <c r="B57" i="1" s="1"/>
  <c r="F58" i="1"/>
  <c r="B58" i="1" s="1"/>
  <c r="F59" i="1"/>
  <c r="B59" i="1" s="1"/>
  <c r="F60" i="1"/>
  <c r="B60" i="1" s="1"/>
  <c r="F61" i="1"/>
  <c r="B61" i="1" s="1"/>
  <c r="F62" i="1"/>
  <c r="B62" i="1" s="1"/>
  <c r="F63" i="1"/>
  <c r="B63" i="1" s="1"/>
  <c r="F64" i="1"/>
  <c r="B64" i="1" s="1"/>
  <c r="F65" i="1"/>
  <c r="B65" i="1" s="1"/>
  <c r="F66" i="1"/>
  <c r="B66" i="1" s="1"/>
  <c r="F67" i="1"/>
  <c r="B67" i="1" s="1"/>
  <c r="F68" i="1"/>
  <c r="B68" i="1" s="1"/>
  <c r="F69" i="1"/>
  <c r="B69" i="1" s="1"/>
  <c r="F70" i="1"/>
  <c r="B70" i="1" s="1"/>
  <c r="F71" i="1"/>
  <c r="B71" i="1" s="1"/>
  <c r="F72" i="1"/>
  <c r="B72" i="1" s="1"/>
  <c r="F40" i="1"/>
  <c r="B40" i="1" s="1"/>
  <c r="F41" i="1"/>
  <c r="B41" i="1" s="1"/>
  <c r="F42" i="1"/>
  <c r="B42" i="1" s="1"/>
  <c r="F44" i="1"/>
  <c r="B44" i="1" s="1"/>
  <c r="F35" i="1"/>
  <c r="B35" i="1" s="1"/>
  <c r="F36" i="1"/>
  <c r="B36" i="1" s="1"/>
  <c r="F37" i="1"/>
  <c r="B37" i="1" s="1"/>
  <c r="F38" i="1"/>
  <c r="B38" i="1" s="1"/>
  <c r="F39" i="1"/>
  <c r="B39" i="1" s="1"/>
  <c r="F43" i="1"/>
  <c r="B43" i="1" s="1"/>
  <c r="F31" i="1"/>
  <c r="B31" i="1" s="1"/>
  <c r="F34" i="1"/>
  <c r="B34" i="1" s="1"/>
  <c r="F30" i="1"/>
  <c r="B30" i="1" s="1"/>
  <c r="F15" i="1"/>
  <c r="B15" i="1" s="1"/>
  <c r="F16" i="1"/>
  <c r="B16" i="1" s="1"/>
  <c r="F17" i="1"/>
  <c r="B17" i="1" s="1"/>
  <c r="F18" i="1"/>
  <c r="B18" i="1" s="1"/>
  <c r="F12" i="1" l="1"/>
  <c r="B12" i="1" s="1"/>
  <c r="F13" i="1"/>
  <c r="B13" i="1" s="1"/>
  <c r="F14" i="1"/>
  <c r="B14" i="1" s="1"/>
  <c r="F9" i="1" l="1"/>
  <c r="F10" i="1"/>
  <c r="F7" i="1"/>
  <c r="B9" i="1" l="1"/>
  <c r="B8" i="1"/>
  <c r="B7" i="1"/>
  <c r="B10" i="1"/>
</calcChain>
</file>

<file path=xl/sharedStrings.xml><?xml version="1.0" encoding="utf-8"?>
<sst xmlns="http://schemas.openxmlformats.org/spreadsheetml/2006/main" count="344" uniqueCount="148">
  <si>
    <t>Idea Planner</t>
  </si>
  <si>
    <t>Topic:</t>
  </si>
  <si>
    <t>Name:</t>
  </si>
  <si>
    <t>Goal:</t>
  </si>
  <si>
    <t>Objective:</t>
  </si>
  <si>
    <t xml:space="preserve"> Task Status Indicator</t>
  </si>
  <si>
    <t>Tasks</t>
  </si>
  <si>
    <t>Due Date</t>
  </si>
  <si>
    <t>Done?</t>
  </si>
  <si>
    <t>Status Icon</t>
  </si>
  <si>
    <t>No</t>
  </si>
  <si>
    <t>Egor, Sanjivan</t>
  </si>
  <si>
    <t xml:space="preserve"> Project Due Date:</t>
  </si>
  <si>
    <t>Productivity-Game</t>
  </si>
  <si>
    <t>Ziel der Anwendung schriftlich festhalten</t>
  </si>
  <si>
    <t>Funktionbeschreibung</t>
  </si>
  <si>
    <t>Tasksverwaltung</t>
  </si>
  <si>
    <t>Features auflisten (CRUD)</t>
  </si>
  <si>
    <t>Wie wird XP berechnt &amp; gespeichert</t>
  </si>
  <si>
    <t>Level bestimmen</t>
  </si>
  <si>
    <t>Streak aktualisieren</t>
  </si>
  <si>
    <t>Wichtige Use-Cases beschreiben </t>
  </si>
  <si>
    <t>Klassen definieren passend zur DB</t>
  </si>
  <si>
    <t>UML-Klassendiagramm erstellen</t>
  </si>
  <si>
    <t>PAP erstellen (PapDesigner)</t>
  </si>
  <si>
    <t>Seiten festlegen</t>
  </si>
  <si>
    <t>Zwecks- und Funktionsdefinition</t>
  </si>
  <si>
    <t>Wireframe-Tool auswählen</t>
  </si>
  <si>
    <t>Wireframes erstellen</t>
  </si>
  <si>
    <t>Wireframes exportieren und ablegen</t>
  </si>
  <si>
    <t>Mockup</t>
  </si>
  <si>
    <t>Farben, Typographie und Abstände definieren</t>
  </si>
  <si>
    <t>UI-Komponenten ausarbeiten</t>
  </si>
  <si>
    <t>Einheitliches Design festlegen</t>
  </si>
  <si>
    <t>Mockup exportieren und ablegen</t>
  </si>
  <si>
    <t>Entitäten festlegen</t>
  </si>
  <si>
    <t>attribute, datentypen, PK festlegen</t>
  </si>
  <si>
    <t>Beziehungen definieren</t>
  </si>
  <si>
    <t>Kardinalitäten bestimmen</t>
  </si>
  <si>
    <t>ER Diagramm erstellen</t>
  </si>
  <si>
    <t>Relationales Diagramm erstellen</t>
  </si>
  <si>
    <t>Diagramme ablegen</t>
  </si>
  <si>
    <t>SQLite Scripte erstellen (Create, Insert, Programmability)</t>
  </si>
  <si>
    <t>Ordnerstruktur für Services, Datenzugriff erstellen</t>
  </si>
  <si>
    <t>Backend-Projekt in C# erstellen</t>
  </si>
  <si>
    <t>SQLite als lokale Datenbank anbinden</t>
  </si>
  <si>
    <t>Zentrale Datenbankverbindung implementieren (Singleton-Pattern)</t>
  </si>
  <si>
    <t>Fehlerbehandlung für Datenbankzugriffe integrieren</t>
  </si>
  <si>
    <t>Benutzer anlegen</t>
  </si>
  <si>
    <t>Benutzer eindeutig identifizieren</t>
  </si>
  <si>
    <t>Login-Logik implementieren</t>
  </si>
  <si>
    <t>Validierung von Benutzereingaben</t>
  </si>
  <si>
    <t>CRUD-Funktionalität für Tasks implementieren</t>
  </si>
  <si>
    <t>Task als „erledigt“ markieren</t>
  </si>
  <si>
    <t>Erledigte Tasks in der Datenbank protokollieren(TaskLog)</t>
  </si>
  <si>
    <t>XP-Regeln festlegen (Formel/Faktoren)</t>
  </si>
  <si>
    <t>XP-Berechnung implementieren</t>
  </si>
  <si>
    <t>XP als Event in der DB speichern (XPEvent)</t>
  </si>
  <si>
    <t>Level Grenzen definieren</t>
  </si>
  <si>
    <t>Aktuelles Level aus Gesamt-XP berechnen</t>
  </si>
  <si>
    <t>Level-Up erkennen</t>
  </si>
  <si>
    <t>Level-Stand speichern</t>
  </si>
  <si>
    <t>Belohnungen vorbereiten (Badges usw.)</t>
  </si>
  <si>
    <t>Regeln definieren</t>
  </si>
  <si>
    <t>Streak aktualisieren bei Task-Abschluss</t>
  </si>
  <si>
    <t>Reset Logik implementieren</t>
  </si>
  <si>
    <t>Streak Status speichern</t>
  </si>
  <si>
    <t>Vue Projekt erstellen</t>
  </si>
  <si>
    <t>Grundlayout umsetzen (Navbar, Footer)</t>
  </si>
  <si>
    <t>Routing/ Navigation zwischen Seiten implementieren</t>
  </si>
  <si>
    <t>Einheitliche UI/UX Elemente und Styles definieren</t>
  </si>
  <si>
    <t>5.2 Task UI</t>
  </si>
  <si>
    <t>Task Liste anzeigen</t>
  </si>
  <si>
    <t>Task erstellen Formular (Titel, Schwierigkeit, Dauer, Kategorie)</t>
  </si>
  <si>
    <t>Task bearbeiten / löschen</t>
  </si>
  <si>
    <t>Task als erledigt markieren</t>
  </si>
  <si>
    <t>Validierung implementieren (Feedback vom backend)</t>
  </si>
  <si>
    <t>UI aktualisieren nach DB änderung (Refresh/Reload)</t>
  </si>
  <si>
    <t>5.3 Gamification UI</t>
  </si>
  <si>
    <t>XP anzeigen</t>
  </si>
  <si>
    <t>Level anzeigen</t>
  </si>
  <si>
    <t>Streak anzeigen</t>
  </si>
  <si>
    <t>Nach erledigter Task Feedback zurückgeben</t>
  </si>
  <si>
    <t>Phase 1: Planung &amp; Vorbereitung                        1.1: Projektdefinition</t>
  </si>
  <si>
    <t>1.2: Feature-Liste &amp; Use-Cases</t>
  </si>
  <si>
    <t>1.3: Datenanalyse &amp; Modellierung</t>
  </si>
  <si>
    <t>1.4: OOP-Design</t>
  </si>
  <si>
    <t>1.5: Programmablauf planen</t>
  </si>
  <si>
    <t>Phase 2: UX/UI &amp; Struktur                                        2.1: Seitenstruktur</t>
  </si>
  <si>
    <t>2.2: Wireframes</t>
  </si>
  <si>
    <t>2.3: Mockup-Erstellung</t>
  </si>
  <si>
    <t>3.2: Authentifizierung</t>
  </si>
  <si>
    <t>3.3: Task-Logik</t>
  </si>
  <si>
    <t>Phase 4: Gamification-Logik                                   4.1: XP-System</t>
  </si>
  <si>
    <t>Phase 3: Backend/DB - Basis                                   3.1: Grundsetup</t>
  </si>
  <si>
    <t>4.2: Level System</t>
  </si>
  <si>
    <t>4.3: Streaks</t>
  </si>
  <si>
    <t>Phase 5: Frontend – Kernfunktionen                  5.1: Grundlayout</t>
  </si>
  <si>
    <t>Phase 6: Dashboard &amp; Statistiken                          6.1 Dashboard</t>
  </si>
  <si>
    <t>Festlegen welche Informationen angezeigt werden sollen</t>
  </si>
  <si>
    <t>Zentrales Dashboard umsetzen</t>
  </si>
  <si>
    <t>Kurze Zusammenfassung der letzten Aktivitäten</t>
  </si>
  <si>
    <t>Schneller Zugriff auf wichtige Funktionen/Aktionen</t>
  </si>
  <si>
    <t>6.2 Diagramme</t>
  </si>
  <si>
    <t>Produktivitätsdiagramme anzeigen</t>
  </si>
  <si>
    <t>Zeitraum-Filter implementieren</t>
  </si>
  <si>
    <t>Daten aus der Datenbank leiten</t>
  </si>
  <si>
    <t>Diagramme übersichtlich und verständlich darstellen</t>
  </si>
  <si>
    <t>6.3 Heatmaps (optional)</t>
  </si>
  <si>
    <t>Produktive Zeiten visualisieren</t>
  </si>
  <si>
    <t>Erledigte Tasks zeitlich auswerten</t>
  </si>
  <si>
    <t>Phase 7: Erweiterungen                                            7.1 Motivation</t>
  </si>
  <si>
    <t>Badges definieren</t>
  </si>
  <si>
    <t>Badge-Freischaltung implementieren</t>
  </si>
  <si>
    <t>Badges im Profil anzeigen</t>
  </si>
  <si>
    <t>Optionale Themes/Design-Varianten vorbereiten</t>
  </si>
  <si>
    <t>7.2 Analyse</t>
  </si>
  <si>
    <t>Erweiterte Trendanalysen implementieren</t>
  </si>
  <si>
    <t>Regeln zur Reflexion implementieren (Benutzer Feedback)</t>
  </si>
  <si>
    <t>Phase 8: Qualität und Abschluss                            8.1 Testing</t>
  </si>
  <si>
    <t>Unit-Tests für zentrale Logik</t>
  </si>
  <si>
    <t>Tests für Datenbankzugriffe</t>
  </si>
  <si>
    <t>Testfälle mit gültigen und ungültigen Eingaben</t>
  </si>
  <si>
    <t>Fehlerbehandlung gezielt prüfen</t>
  </si>
  <si>
    <t>8.2 Finalisierung</t>
  </si>
  <si>
    <t>Bugs beheben</t>
  </si>
  <si>
    <t>Code verbessern (Lesbarkeit/ Struktur)</t>
  </si>
  <si>
    <t>Kommentare / Best Practise</t>
  </si>
  <si>
    <t>Dokumentation prüfen auf vollständigkeit</t>
  </si>
  <si>
    <t>Projekt testen (lokal)</t>
  </si>
  <si>
    <t>8.3 Release</t>
  </si>
  <si>
    <t>Github Actions vorbereiten</t>
  </si>
  <si>
    <t>Projekt veröffentlichen</t>
  </si>
  <si>
    <t>Yes</t>
  </si>
  <si>
    <t>Webapplikation, Produktivität, Gamification</t>
  </si>
  <si>
    <t>Responsibility</t>
  </si>
  <si>
    <t>Sanjivan</t>
  </si>
  <si>
    <t>Projektplan bestimmen</t>
  </si>
  <si>
    <t>Egor</t>
  </si>
  <si>
    <t>Sanjivan &amp; Egor</t>
  </si>
  <si>
    <t>Navigation bestimmen</t>
  </si>
  <si>
    <t>Create Scipt schreiben</t>
  </si>
  <si>
    <t>Insert Script schreiben</t>
  </si>
  <si>
    <t>Programmability Script schreiben</t>
  </si>
  <si>
    <t>Beim Projekt handelt es sich um eine Web basierte Anwendung, welche die Produktivität des Benutzers fördern soll. Dies wird mit einem Spielerischem Ansatz erreicht (Gamification). Die Website soll Nutzern ermöglichen Tasks zu verwalten und abzuarbeiten, gleichzeitig aber den Nutzern zu motivieren die Task zu erledigen. Dafür werden Elemente der Spielebranche benutzt wie XP, Level, Streaks, welche die Arbeit messbar macht und motivierend wirkt.</t>
  </si>
  <si>
    <t>Projekt builden</t>
  </si>
  <si>
    <t>Gesamt-XP pro User berechnen/abrufen</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</si>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</sst>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quot;Complete&quot;;&quot;Incomplete or Overdue&quot;;&quot;Pending or Due Tomorrow&quot;"/>
  </numFmts>
  <fonts count="13" x14ac:knownFonts="1">
    <font>
      <sz val="11"/>
      <color theme="4" tint="-0.499984740745262"/>
      <name val="Calibri"/>
      <family val="2"/>
      <scheme val="minor"/>
    </font>
    <font>
      <b/>
      <sz val="30"/>
      <color theme="0"/>
      <name val="Calibri"/>
      <family val="2"/>
      <scheme val="major"/>
    </font>
    <font>
      <sz val="11"/>
      <color theme="3"/>
      <name val="Calibri"/>
      <family val="2"/>
      <scheme val="minor"/>
    </font>
    <font>
      <sz val="12"/>
      <color theme="3"/>
      <name val="Calibri"/>
      <family val="2"/>
      <scheme val="minor"/>
    </font>
    <font>
      <sz val="11"/>
      <color theme="10"/>
      <name val="Calibri"/>
      <family val="2"/>
      <scheme val="minor"/>
    </font>
    <font>
      <b/>
      <sz val="13"/>
      <color theme="0"/>
      <name val="Calibri"/>
      <family val="2"/>
      <scheme val="minor"/>
    </font>
    <font>
      <sz val="11"/>
      <color theme="0" tint="-4.9989318521683403E-2"/>
      <name val="Calibri"/>
      <family val="2"/>
      <scheme val="minor"/>
    </font>
    <font>
      <sz val="11"/>
      <color theme="0"/>
      <name val="Calibri"/>
      <family val="2"/>
      <scheme val="minor"/>
    </font>
    <font>
      <b/>
      <sz val="14"/>
      <color theme="0"/>
      <name val="Calibri"/>
      <family val="2"/>
      <scheme val="minor"/>
    </font>
    <font>
      <sz val="11"/>
      <name val="Calibri"/>
      <family val="2"/>
      <scheme val="minor"/>
    </font>
    <font>
      <b/>
      <sz val="14"/>
      <color theme="4" tint="-0.24994659260841701"/>
      <name val="Calibri"/>
      <family val="2"/>
      <scheme val="minor"/>
    </font>
    <font>
      <sz val="11"/>
      <color theme="4" tint="-0.24994659260841701"/>
      <name val="Calibri"/>
      <family val="2"/>
      <scheme val="minor"/>
    </font>
    <font>
      <sz val="11"/>
      <color theme="4" tint="-0.499984740745262"/>
      <name val="Calibri"/>
      <family val="2"/>
      <scheme val="minor"/>
    </font>
  </fonts>
  <fills count="7">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4" tint="-0.24994659260841701"/>
        <bgColor indexed="64"/>
      </patternFill>
    </fill>
    <fill>
      <patternFill patternType="solid">
        <fgColor theme="3" tint="0.79998168889431442"/>
        <bgColor indexed="64"/>
      </patternFill>
    </fill>
    <fill>
      <patternFill patternType="solid">
        <fgColor theme="2" tint="-9.9978637043366805E-2"/>
        <bgColor indexed="64"/>
      </patternFill>
    </fill>
  </fills>
  <borders count="4">
    <border>
      <left/>
      <right/>
      <top/>
      <bottom/>
      <diagonal/>
    </border>
    <border>
      <left style="thick">
        <color theme="4" tint="-0.24994659260841701"/>
      </left>
      <right/>
      <top style="thick">
        <color theme="4" tint="-0.24994659260841701"/>
      </top>
      <bottom/>
      <diagonal/>
    </border>
    <border>
      <left style="thick">
        <color theme="4" tint="-0.24994659260841701"/>
      </left>
      <right/>
      <top/>
      <bottom/>
      <diagonal/>
    </border>
    <border>
      <left/>
      <right/>
      <top/>
      <bottom style="thick">
        <color theme="4" tint="-0.24994659260841701"/>
      </bottom>
      <diagonal/>
    </border>
  </borders>
  <cellStyleXfs count="20">
    <xf numFmtId="0" fontId="0" fillId="4" borderId="0">
      <alignment horizontal="left" vertical="center" wrapText="1" indent="1"/>
    </xf>
    <xf numFmtId="0" fontId="1" fillId="4" borderId="0" applyNumberFormat="0" applyBorder="0" applyProtection="0">
      <alignment horizontal="left" vertical="top" indent="1"/>
    </xf>
    <xf numFmtId="0" fontId="10" fillId="3" borderId="1" applyNumberFormat="0" applyProtection="0">
      <alignment horizontal="left" indent="1"/>
    </xf>
    <xf numFmtId="0" fontId="5" fillId="4" borderId="0" applyNumberFormat="0" applyBorder="0" applyProtection="0">
      <alignment horizontal="right" vertical="center" indent="2"/>
    </xf>
    <xf numFmtId="0" fontId="3" fillId="3" borderId="3" applyNumberFormat="0" applyProtection="0">
      <alignment horizontal="left" vertical="center" wrapText="1" indent="1"/>
    </xf>
    <xf numFmtId="0" fontId="4" fillId="4" borderId="0" applyNumberFormat="0" applyBorder="0" applyAlignment="0" applyProtection="0">
      <alignment vertical="center"/>
    </xf>
    <xf numFmtId="0" fontId="6" fillId="4" borderId="0" applyNumberFormat="0" applyBorder="0" applyAlignment="0" applyProtection="0">
      <alignment vertical="center"/>
    </xf>
    <xf numFmtId="0" fontId="2" fillId="3" borderId="2" applyNumberFormat="0" applyProtection="0">
      <alignment horizontal="left" vertical="top" wrapText="1" indent="1"/>
    </xf>
    <xf numFmtId="14" fontId="9" fillId="0" borderId="0" applyFont="0" applyFill="0" applyBorder="0" applyAlignment="0">
      <alignment vertical="center"/>
    </xf>
    <xf numFmtId="0" fontId="9" fillId="2" borderId="0" applyNumberFormat="0" applyFont="0" applyFill="0" applyBorder="0">
      <alignment horizontal="center" vertical="center" wrapText="1"/>
    </xf>
    <xf numFmtId="167" fontId="9" fillId="0" borderId="0" applyFont="0" applyFill="0" applyBorder="0" applyAlignment="0" applyProtection="0"/>
    <xf numFmtId="165" fontId="9" fillId="0" borderId="0" applyFont="0" applyFill="0" applyBorder="0" applyAlignment="0" applyProtection="0"/>
    <xf numFmtId="166" fontId="9" fillId="0" borderId="0" applyFont="0" applyFill="0" applyBorder="0" applyAlignment="0" applyProtection="0"/>
    <xf numFmtId="164" fontId="9" fillId="0" borderId="0" applyFont="0" applyFill="0" applyBorder="0" applyAlignment="0" applyProtection="0"/>
    <xf numFmtId="9" fontId="9" fillId="0" borderId="0" applyFont="0" applyFill="0" applyBorder="0" applyAlignment="0" applyProtection="0"/>
    <xf numFmtId="0" fontId="8" fillId="4" borderId="0" applyNumberFormat="0" applyBorder="0" applyAlignment="0" applyProtection="0">
      <alignment horizontal="left" vertical="center" indent="1"/>
    </xf>
    <xf numFmtId="0" fontId="11" fillId="0" borderId="0" applyFill="0" applyBorder="0" applyAlignment="0" applyProtection="0"/>
    <xf numFmtId="0" fontId="7" fillId="2" borderId="0" applyFill="0" applyBorder="0">
      <alignment horizontal="left" vertical="center" wrapText="1" indent="1"/>
    </xf>
    <xf numFmtId="14" fontId="9" fillId="0" borderId="0" applyFont="0" applyFill="0" applyBorder="0">
      <alignment horizontal="right" vertical="center" indent="1"/>
    </xf>
    <xf numFmtId="168" fontId="12" fillId="4" borderId="0" applyFill="0">
      <alignment horizontal="left" vertical="center" wrapText="1" indent="3"/>
    </xf>
  </cellStyleXfs>
  <cellXfs count="37">
    <xf numFmtId="0" fontId="0" fillId="4" borderId="0" xfId="0">
      <alignment horizontal="left" vertical="center" wrapText="1" indent="1"/>
    </xf>
    <xf numFmtId="0" fontId="5" fillId="4" borderId="0" xfId="3">
      <alignment horizontal="right" vertical="center" indent="2"/>
    </xf>
    <xf numFmtId="0" fontId="3" fillId="3" borderId="3" xfId="4">
      <alignment horizontal="left" vertical="center" wrapText="1" indent="1"/>
    </xf>
    <xf numFmtId="0" fontId="8" fillId="4" borderId="0" xfId="15" applyAlignment="1">
      <alignment horizontal="left" vertical="center" wrapText="1" indent="1"/>
    </xf>
    <xf numFmtId="0" fontId="0" fillId="4" borderId="0" xfId="9" applyFont="1" applyFill="1" applyBorder="1">
      <alignment horizontal="center" vertical="center" wrapText="1"/>
    </xf>
    <xf numFmtId="14" fontId="3" fillId="3" borderId="3" xfId="8" applyFont="1" applyFill="1" applyBorder="1" applyAlignment="1">
      <alignment horizontal="left" vertical="center" indent="1"/>
    </xf>
    <xf numFmtId="0" fontId="8" fillId="4" borderId="0" xfId="9" applyFont="1" applyFill="1">
      <alignment horizontal="center" vertical="center" wrapText="1"/>
    </xf>
    <xf numFmtId="14" fontId="0" fillId="4" borderId="0" xfId="18" applyFont="1" applyFill="1" applyBorder="1">
      <alignment horizontal="right" vertical="center" indent="1"/>
    </xf>
    <xf numFmtId="168" fontId="12" fillId="4" borderId="0" xfId="19" applyAlignment="1">
      <alignment horizontal="left" vertical="center" wrapText="1" indent="1"/>
    </xf>
    <xf numFmtId="168" fontId="12" fillId="4" borderId="0" xfId="19" applyFill="1">
      <alignment horizontal="left" vertical="center" wrapText="1" indent="3"/>
    </xf>
    <xf numFmtId="0" fontId="5" fillId="4" borderId="0" xfId="3" applyAlignment="1">
      <alignment horizontal="center" vertical="center"/>
    </xf>
    <xf numFmtId="168" fontId="12" fillId="4" borderId="0" xfId="19">
      <alignment horizontal="left" vertical="center" wrapText="1" indent="3"/>
    </xf>
    <xf numFmtId="14" fontId="0" fillId="4" borderId="0" xfId="18" applyFont="1" applyFill="1">
      <alignment horizontal="right" vertical="center" indent="1"/>
    </xf>
    <xf numFmtId="0" fontId="0" fillId="4" borderId="0" xfId="9" applyFont="1" applyFill="1">
      <alignment horizontal="center" vertical="center" wrapText="1"/>
    </xf>
    <xf numFmtId="0" fontId="0" fillId="5" borderId="0" xfId="0" applyFill="1">
      <alignment horizontal="left" vertical="center" wrapText="1" indent="1"/>
    </xf>
    <xf numFmtId="14" fontId="0" fillId="5" borderId="0" xfId="18" applyFont="1" applyFill="1" applyBorder="1">
      <alignment horizontal="right" vertical="center" indent="1"/>
    </xf>
    <xf numFmtId="0" fontId="0" fillId="5" borderId="0" xfId="9" applyFont="1" applyFill="1" applyBorder="1">
      <alignment horizontal="center" vertical="center" wrapText="1"/>
    </xf>
    <xf numFmtId="168" fontId="12" fillId="5" borderId="0" xfId="19" applyFill="1">
      <alignment horizontal="left" vertical="center" wrapText="1" indent="3"/>
    </xf>
    <xf numFmtId="0" fontId="9" fillId="5" borderId="0" xfId="0" applyFont="1" applyFill="1">
      <alignment horizontal="left" vertical="center" wrapText="1" indent="1"/>
    </xf>
    <xf numFmtId="14" fontId="9" fillId="5" borderId="0" xfId="18" applyFont="1" applyFill="1">
      <alignment horizontal="right" vertical="center" indent="1"/>
    </xf>
    <xf numFmtId="0" fontId="9" fillId="5" borderId="0" xfId="9" applyFont="1" applyFill="1">
      <alignment horizontal="center" vertical="center" wrapText="1"/>
    </xf>
    <xf numFmtId="168" fontId="9" fillId="5" borderId="0" xfId="19" applyFont="1" applyFill="1">
      <alignment horizontal="left" vertical="center" wrapText="1" indent="3"/>
    </xf>
    <xf numFmtId="0" fontId="0" fillId="6" borderId="0" xfId="0" applyFill="1">
      <alignment horizontal="left" vertical="center" wrapText="1" indent="1"/>
    </xf>
    <xf numFmtId="14" fontId="0" fillId="6" borderId="0" xfId="18" applyFont="1" applyFill="1">
      <alignment horizontal="right" vertical="center" indent="1"/>
    </xf>
    <xf numFmtId="0" fontId="0" fillId="6" borderId="0" xfId="9" applyFont="1" applyFill="1">
      <alignment horizontal="center" vertical="center" wrapText="1"/>
    </xf>
    <xf numFmtId="168" fontId="12" fillId="6" borderId="0" xfId="19" applyFill="1">
      <alignment horizontal="left" vertical="center" wrapText="1" indent="3"/>
    </xf>
    <xf numFmtId="168" fontId="0" fillId="5" borderId="0" xfId="0" applyNumberFormat="1" applyFill="1">
      <alignment horizontal="left" vertical="center" wrapText="1" indent="1"/>
    </xf>
    <xf numFmtId="168" fontId="0" fillId="4" borderId="0" xfId="0" applyNumberFormat="1">
      <alignment horizontal="left" vertical="center" wrapText="1" indent="1"/>
    </xf>
    <xf numFmtId="168" fontId="9" fillId="5" borderId="0" xfId="0" applyNumberFormat="1" applyFont="1" applyFill="1">
      <alignment horizontal="left" vertical="center" wrapText="1" indent="1"/>
    </xf>
    <xf numFmtId="168" fontId="0" fillId="6" borderId="0" xfId="0" applyNumberFormat="1" applyFill="1">
      <alignment horizontal="left" vertical="center" wrapText="1" indent="1"/>
    </xf>
    <xf numFmtId="168" fontId="12" fillId="4" borderId="0" xfId="19" applyAlignment="1">
      <alignment horizontal="left" vertical="center" wrapText="1" indent="2"/>
    </xf>
    <xf numFmtId="14" fontId="0" fillId="5" borderId="0" xfId="18" applyFont="1" applyFill="1">
      <alignment horizontal="right" vertical="center" indent="1"/>
    </xf>
    <xf numFmtId="0" fontId="0" fillId="5" borderId="0" xfId="9" applyFont="1" applyFill="1">
      <alignment horizontal="center" vertical="center" wrapText="1"/>
    </xf>
    <xf numFmtId="0" fontId="0" fillId="4" borderId="0" xfId="0">
      <alignment horizontal="left" vertical="center" wrapText="1" indent="1"/>
    </xf>
    <xf numFmtId="0" fontId="1" fillId="4" borderId="0" xfId="1">
      <alignment horizontal="left" vertical="top" indent="1"/>
    </xf>
    <xf numFmtId="0" fontId="10" fillId="3" borderId="1" xfId="2">
      <alignment horizontal="left" indent="1"/>
    </xf>
    <xf numFmtId="0" fontId="2" fillId="3" borderId="2" xfId="7">
      <alignment horizontal="left" vertical="top" wrapText="1" indent="1"/>
    </xf>
  </cellXfs>
  <cellStyles count="20">
    <cellStyle name="Berechnung" xfId="16" builtinId="22" customBuiltin="1"/>
    <cellStyle name="Besuchter Hyperlink" xfId="6" builtinId="9" customBuiltin="1"/>
    <cellStyle name="Center aligned" xfId="9" xr:uid="{00000000-0005-0000-0000-000001000000}"/>
    <cellStyle name="Dezimal [0]" xfId="11" builtinId="6" customBuiltin="1"/>
    <cellStyle name="Due Date" xfId="18" xr:uid="{00000000-0005-0000-0000-000006000000}"/>
    <cellStyle name="Erklärender Text" xfId="7" builtinId="53" customBuiltin="1"/>
    <cellStyle name="Komma" xfId="10" builtinId="3" customBuiltin="1"/>
    <cellStyle name="Link" xfId="5" builtinId="8" customBuiltin="1"/>
    <cellStyle name="Plan Due Date" xfId="8" xr:uid="{00000000-0005-0000-0000-000010000000}"/>
    <cellStyle name="Prozent" xfId="14" builtinId="5" customBuiltin="1"/>
    <cellStyle name="Standard" xfId="0" builtinId="0" customBuiltin="1"/>
    <cellStyle name="Status Icon Text" xfId="19" xr:uid="{00000000-0005-0000-0000-000011000000}"/>
    <cellStyle name="Task Indicator" xfId="17" xr:uid="{00000000-0005-0000-0000-00001200000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15" builtinId="19" customBuiltin="1"/>
    <cellStyle name="Währung" xfId="12" builtinId="4" customBuiltin="1"/>
    <cellStyle name="Währung [0]" xfId="13" builtinId="7" customBuiltin="1"/>
  </cellStyles>
  <dxfs count="11">
    <dxf>
      <font>
        <color theme="5" tint="-0.499984740745262"/>
      </font>
    </dxf>
    <dxf>
      <font>
        <color theme="8" tint="-0.499984740745262"/>
      </font>
    </dxf>
    <dxf>
      <font>
        <color theme="6" tint="-0.499984740745262"/>
      </font>
      <fill>
        <patternFill patternType="none">
          <bgColor auto="1"/>
        </patternFill>
      </fill>
    </dxf>
    <dxf>
      <font>
        <color theme="5" tint="-0.499984740745262"/>
      </font>
    </dxf>
    <dxf>
      <font>
        <color theme="8" tint="-0.499984740745262"/>
      </font>
    </dxf>
    <dxf>
      <font>
        <color theme="6" tint="-0.499984740745262"/>
      </font>
      <fill>
        <patternFill patternType="none">
          <bgColor auto="1"/>
        </patternFill>
      </fill>
    </dxf>
    <dxf>
      <numFmt numFmtId="168" formatCode="&quot;Complete&quot;;&quot;Incomplete or Overdue&quot;;&quot;Pending or Due Tomorrow&quot;"/>
    </dxf>
    <dxf>
      <border>
        <bottom style="thick">
          <color theme="4" tint="-0.24994659260841701"/>
        </bottom>
      </border>
    </dxf>
    <dxf>
      <border>
        <right style="thick">
          <color theme="4" tint="-0.24994659260841701"/>
        </right>
        <bottom style="thick">
          <color theme="4" tint="-0.24994659260841701"/>
        </bottom>
        <horizontal style="thick">
          <color theme="4" tint="-0.24994659260841701"/>
        </horizontal>
      </border>
    </dxf>
    <dxf>
      <font>
        <b/>
        <i val="0"/>
        <color theme="0"/>
      </font>
      <fill>
        <patternFill>
          <bgColor theme="4" tint="-0.24994659260841701"/>
        </patternFill>
      </fill>
      <border>
        <bottom style="thick">
          <color theme="4" tint="0.59996337778862885"/>
        </bottom>
      </border>
    </dxf>
    <dxf>
      <fill>
        <patternFill patternType="solid">
          <bgColor theme="0"/>
        </patternFill>
      </fill>
      <border>
        <right style="thick">
          <color theme="4" tint="-0.24994659260841701"/>
        </right>
        <bottom style="thick">
          <color theme="4" tint="0.79998168889431442"/>
        </bottom>
        <horizontal style="thick">
          <color theme="4" tint="0.79998168889431442"/>
        </horizontal>
      </border>
    </dxf>
  </dxfs>
  <tableStyles count="1" defaultTableStyle="Idea Planner" defaultPivotStyle="PivotStyleLight16">
    <tableStyle name="Idea Planner" pivot="0" count="4" xr9:uid="{00000000-0011-0000-FFFF-FFFF00000000}">
      <tableStyleElement type="wholeTable" dxfId="10"/>
      <tableStyleElement type="headerRow" dxfId="9"/>
      <tableStyleElement type="firstColumn" dxfId="8"/>
      <tableStyleElement type="firstHeaderCell"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2</xdr:col>
      <xdr:colOff>295275</xdr:colOff>
      <xdr:row>1</xdr:row>
      <xdr:rowOff>114</xdr:rowOff>
    </xdr:to>
    <xdr:pic>
      <xdr:nvPicPr>
        <xdr:cNvPr id="3" name="Picture 2" descr="Thought bubble graphic">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66675"/>
          <a:ext cx="409575" cy="3619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s" displayName="Tasks" ref="B6:G132" totalsRowShown="0">
  <autoFilter ref="B6:G132"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6" xr3:uid="{00000000-0010-0000-0000-000006000000}" name=" Task Status Indicator" dataCellStyle="Status Icon Text">
      <calculatedColumnFormula>Tasks[[#This Row],[Status Icon]]</calculatedColumnFormula>
    </tableColumn>
    <tableColumn id="1" xr3:uid="{00000000-0010-0000-0000-000001000000}" name="Tasks"/>
    <tableColumn id="2" xr3:uid="{00000000-0010-0000-0000-000002000000}" name="Due Date" dataCellStyle="Due Date"/>
    <tableColumn id="3" xr3:uid="{00000000-0010-0000-0000-000003000000}" name="Done?" dataCellStyle="Center aligned"/>
    <tableColumn id="4" xr3:uid="{00000000-0010-0000-0000-000004000000}" name="Status Icon" dataCellStyle="Status Icon Text">
      <calculatedColumnFormula>IFERROR(IF(ISBLANK(Tasks[[#This Row],[Due Date]]),"",IF(Tasks[[#This Row],[Done?]]="Yes",1,IF(OR(Tasks[[#This Row],[Due Date]]&gt;PlanDueDate,Tasks[[#This Row],[Done?]]="No"),-1,IF(OR(OR(Tasks[[#This Row],[Due Date]]=TODAY(),Tasks[[#This Row],[Due Date]]=PlanDueDate),Tasks[[#This Row],[Done?]]="Pending"),0,"")))),"")</calculatedColumnFormula>
    </tableColumn>
    <tableColumn id="5" xr3:uid="{00000000-0010-0000-0000-000005000000}" name="Responsibility" dataDxfId="6">
      <calculatedColumnFormula>IFERROR(IF(ISBLANK(Tasks[[#This Row],[Due Date]]),"",IF(Tasks[[#This Row],[Done?]]="Yes",1,IF(OR(Tasks[[#This Row],[Due Date]]&gt;PlanDueDate,Tasks[[#This Row],[Done?]]="No"),-1,IF(OR(OR(Tasks[[#This Row],[Due Date]]=TODAY(),Tasks[[#This Row],[Due Date]]=PlanDueDate),Tasks[[#This Row],[Done?]]="Pending"),0,"")))),"")</calculatedColumnFormula>
    </tableColumn>
  </tableColumns>
  <tableStyleInfo name="Idea Planner" showFirstColumn="1" showLastColumn="0" showRowStripes="1" showColumnStripes="0"/>
  <extLst>
    <ext xmlns:x14="http://schemas.microsoft.com/office/spreadsheetml/2009/9/main" uri="{504A1905-F514-4f6f-8877-14C23A59335A}">
      <x14:table altTextSummary="Enter Tasks, Due Date, and Notes in this table. Mark task completion status in Done column. Indicator status in column B and Status Icons in column F are automatically updated"/>
    </ext>
  </extLst>
</table>
</file>

<file path=xl/theme/theme1.xml><?xml version="1.0" encoding="utf-8"?>
<a:theme xmlns:a="http://schemas.openxmlformats.org/drawingml/2006/main" name="Office Theme">
  <a:themeElements>
    <a:clrScheme name="Task Idea Planner">
      <a:dk1>
        <a:sysClr val="windowText" lastClr="000000"/>
      </a:dk1>
      <a:lt1>
        <a:sysClr val="window" lastClr="FFFFFF"/>
      </a:lt1>
      <a:dk2>
        <a:srgbClr val="505050"/>
      </a:dk2>
      <a:lt2>
        <a:srgbClr val="F0F0F0"/>
      </a:lt2>
      <a:accent1>
        <a:srgbClr val="8C82BD"/>
      </a:accent1>
      <a:accent2>
        <a:srgbClr val="F4783A"/>
      </a:accent2>
      <a:accent3>
        <a:srgbClr val="B4D44C"/>
      </a:accent3>
      <a:accent4>
        <a:srgbClr val="1EC7FF"/>
      </a:accent4>
      <a:accent5>
        <a:srgbClr val="FFD000"/>
      </a:accent5>
      <a:accent6>
        <a:srgbClr val="7991AF"/>
      </a:accent6>
      <a:hlink>
        <a:srgbClr val="FFFFFF"/>
      </a:hlink>
      <a:folHlink>
        <a:srgbClr val="F2F2F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B1:G132"/>
  <sheetViews>
    <sheetView showGridLines="0" tabSelected="1" topLeftCell="A119" zoomScaleNormal="100" workbookViewId="0">
      <selection activeCell="E125" sqref="E125"/>
    </sheetView>
  </sheetViews>
  <sheetFormatPr baseColWidth="10" defaultColWidth="8.77734375" defaultRowHeight="30" customHeight="1" x14ac:dyDescent="0.3"/>
  <cols>
    <col min="1" max="1" width="2.5546875" customWidth="1"/>
    <col min="2" max="2" width="1" customWidth="1"/>
    <col min="3" max="3" width="42.5546875" customWidth="1"/>
    <col min="4" max="4" width="18.5546875" customWidth="1"/>
    <col min="5" max="5" width="22.5546875" customWidth="1"/>
    <col min="6" max="6" width="31" customWidth="1"/>
    <col min="7" max="7" width="43.44140625" customWidth="1"/>
    <col min="8" max="8" width="2.5546875" customWidth="1"/>
  </cols>
  <sheetData>
    <row r="1" spans="2:7" ht="33.75" customHeight="1" x14ac:dyDescent="0.3">
      <c r="B1" s="33"/>
      <c r="C1" s="33"/>
    </row>
    <row r="2" spans="2:7" ht="33" customHeight="1" thickBot="1" x14ac:dyDescent="0.35">
      <c r="B2" s="34" t="s">
        <v>0</v>
      </c>
      <c r="C2" s="34"/>
      <c r="D2" s="1" t="s">
        <v>1</v>
      </c>
      <c r="E2" s="2" t="s">
        <v>13</v>
      </c>
      <c r="F2" s="1"/>
      <c r="G2" s="1"/>
    </row>
    <row r="3" spans="2:7" ht="33" customHeight="1" thickTop="1" thickBot="1" x14ac:dyDescent="0.35">
      <c r="B3" s="34"/>
      <c r="C3" s="34"/>
      <c r="D3" s="10" t="s">
        <v>12</v>
      </c>
      <c r="E3" s="5">
        <v>46185</v>
      </c>
      <c r="F3" s="1" t="s">
        <v>2</v>
      </c>
      <c r="G3" s="2" t="s">
        <v>11</v>
      </c>
    </row>
    <row r="4" spans="2:7" ht="28.5" customHeight="1" thickTop="1" x14ac:dyDescent="0.35">
      <c r="B4" s="35" t="s">
        <v>3</v>
      </c>
      <c r="C4" s="35"/>
      <c r="D4" s="35"/>
      <c r="E4" s="35" t="s">
        <v>4</v>
      </c>
      <c r="F4" s="35"/>
      <c r="G4" s="35"/>
    </row>
    <row r="5" spans="2:7" ht="75" customHeight="1" x14ac:dyDescent="0.3">
      <c r="B5" s="36" t="s">
        <v>144</v>
      </c>
      <c r="C5" s="36"/>
      <c r="D5" s="36"/>
      <c r="E5" s="36" t="s">
        <v>134</v>
      </c>
      <c r="F5" s="36"/>
      <c r="G5" s="36"/>
    </row>
    <row r="6" spans="2:7" ht="50.1" customHeight="1" x14ac:dyDescent="0.3">
      <c r="B6" s="3" t="s">
        <v>5</v>
      </c>
      <c r="C6" s="3" t="s">
        <v>6</v>
      </c>
      <c r="D6" s="6" t="s">
        <v>7</v>
      </c>
      <c r="E6" s="6" t="s">
        <v>8</v>
      </c>
      <c r="F6" s="6" t="s">
        <v>9</v>
      </c>
      <c r="G6" s="3" t="s">
        <v>135</v>
      </c>
    </row>
    <row r="7" spans="2:7" ht="30" customHeight="1" x14ac:dyDescent="0.3">
      <c r="B7" s="8" t="str">
        <f ca="1">Tasks[[#This Row],[Status Icon]]</f>
        <v/>
      </c>
      <c r="C7" s="14" t="s">
        <v>83</v>
      </c>
      <c r="D7" s="15"/>
      <c r="E7" s="16"/>
      <c r="F7" s="17" t="str">
        <f ca="1">IFERROR(IF(ISBLANK(Tasks[[#This Row],[Due Date]]),"",IF(Tasks[[#This Row],[Done?]]="Yes",1,IF(OR(Tasks[[#This Row],[Due Date]]&gt;PlanDueDate,Tasks[[#This Row],[Done?]]="No"),-1,IF(OR(OR(Tasks[[#This Row],[Due Date]]=TODAY(),Tasks[[#This Row],[Due Date]]=PlanDueDate),Tasks[[#This Row],[Done?]]="Pending"),0,"")))),"")</f>
        <v/>
      </c>
      <c r="G7" s="26"/>
    </row>
    <row r="8" spans="2:7" ht="30" customHeight="1" x14ac:dyDescent="0.3">
      <c r="B8" s="8">
        <f ca="1">Tasks[[#This Row],[Status Icon]]</f>
        <v>1</v>
      </c>
      <c r="C8" t="s">
        <v>14</v>
      </c>
      <c r="D8" s="7">
        <v>46063</v>
      </c>
      <c r="E8" s="4" t="s">
        <v>133</v>
      </c>
      <c r="F8" s="9">
        <f ca="1">IFERROR(IF(ISBLANK(Tasks[[#This Row],[Due Date]]),"",IF(Tasks[[#This Row],[Done?]]="Yes",1,IF(OR(Tasks[[#This Row],[Due Date]]&gt;PlanDueDate,Tasks[[#This Row],[Done?]]="No"),-1,IF(OR(OR(Tasks[[#This Row],[Due Date]]=TODAY(),Tasks[[#This Row],[Due Date]]=PlanDueDate),Tasks[[#This Row],[Done?]]="Pending"),0,"")))),"")</f>
        <v>1</v>
      </c>
      <c r="G8" s="27" t="s">
        <v>136</v>
      </c>
    </row>
    <row r="9" spans="2:7" ht="30" customHeight="1" x14ac:dyDescent="0.3">
      <c r="B9" s="8">
        <f ca="1">Tasks[[#This Row],[Status Icon]]</f>
        <v>1</v>
      </c>
      <c r="C9" t="s">
        <v>15</v>
      </c>
      <c r="D9" s="7">
        <v>46063</v>
      </c>
      <c r="E9" s="4" t="s">
        <v>133</v>
      </c>
      <c r="F9" s="9">
        <f ca="1">IFERROR(IF(ISBLANK(Tasks[[#This Row],[Due Date]]),"",IF(Tasks[[#This Row],[Done?]]="Yes",1,IF(OR(Tasks[[#This Row],[Due Date]]&gt;PlanDueDate,Tasks[[#This Row],[Done?]]="No"),-1,IF(OR(OR(Tasks[[#This Row],[Due Date]]=TODAY(),Tasks[[#This Row],[Due Date]]=PlanDueDate),Tasks[[#This Row],[Done?]]="Pending"),0,"")))),"")</f>
        <v>1</v>
      </c>
      <c r="G9" s="27" t="s">
        <v>136</v>
      </c>
    </row>
    <row r="10" spans="2:7" ht="30" customHeight="1" x14ac:dyDescent="0.3">
      <c r="B10" s="8">
        <f ca="1">Tasks[[#This Row],[Status Icon]]</f>
        <v>1</v>
      </c>
      <c r="C10" t="s">
        <v>16</v>
      </c>
      <c r="D10" s="7">
        <v>46063</v>
      </c>
      <c r="E10" s="4" t="s">
        <v>133</v>
      </c>
      <c r="F10" s="9">
        <f ca="1">IFERROR(IF(ISBLANK(Tasks[[#This Row],[Due Date]]),"",IF(Tasks[[#This Row],[Done?]]="Yes",1,IF(OR(Tasks[[#This Row],[Due Date]]&gt;PlanDueDate,Tasks[[#This Row],[Done?]]="No"),-1,IF(OR(OR(Tasks[[#This Row],[Due Date]]=TODAY(),Tasks[[#This Row],[Due Date]]=PlanDueDate),Tasks[[#This Row],[Done?]]="Pending"),0,"")))),"")</f>
        <v>1</v>
      </c>
      <c r="G10" s="27" t="s">
        <v>136</v>
      </c>
    </row>
    <row r="11" spans="2:7" ht="30" customHeight="1" x14ac:dyDescent="0.3">
      <c r="B11" s="11">
        <f ca="1">Tasks[[#This Row],[Status Icon]]</f>
        <v>1</v>
      </c>
      <c r="C11" t="s">
        <v>137</v>
      </c>
      <c r="D11" s="7">
        <v>46063</v>
      </c>
      <c r="E11" s="4" t="s">
        <v>133</v>
      </c>
      <c r="F11" s="9">
        <f ca="1">IFERROR(IF(ISBLANK(Tasks[[#This Row],[Due Date]]),"",IF(Tasks[[#This Row],[Done?]]="Yes",1,IF(OR(Tasks[[#This Row],[Due Date]]&gt;PlanDueDate,Tasks[[#This Row],[Done?]]="No"),-1,IF(OR(OR(Tasks[[#This Row],[Due Date]]=TODAY(),Tasks[[#This Row],[Due Date]]=PlanDueDate),Tasks[[#This Row],[Done?]]="Pending"),0,"")))),"")</f>
        <v>1</v>
      </c>
      <c r="G11" s="27" t="s">
        <v>138</v>
      </c>
    </row>
    <row r="12" spans="2:7" ht="30" customHeight="1" x14ac:dyDescent="0.3">
      <c r="B12" s="11" t="str">
        <f ca="1">Tasks[[#This Row],[Status Icon]]</f>
        <v/>
      </c>
      <c r="C12" s="18" t="s">
        <v>84</v>
      </c>
      <c r="D12" s="19"/>
      <c r="E12" s="20"/>
      <c r="F12" s="21" t="str">
        <f ca="1">IFERROR(IF(ISBLANK(Tasks[[#This Row],[Due Date]]),"",IF(Tasks[[#This Row],[Done?]]="Yes",1,IF(OR(Tasks[[#This Row],[Due Date]]&gt;PlanDueDate,Tasks[[#This Row],[Done?]]="No"),-1,IF(OR(OR(Tasks[[#This Row],[Due Date]]=TODAY(),Tasks[[#This Row],[Due Date]]=PlanDueDate),Tasks[[#This Row],[Done?]]="Pending"),0,"")))),"")</f>
        <v/>
      </c>
      <c r="G12" s="28"/>
    </row>
    <row r="13" spans="2:7" ht="30" customHeight="1" x14ac:dyDescent="0.3">
      <c r="B13" s="11">
        <f ca="1">Tasks[[#This Row],[Status Icon]]</f>
        <v>1</v>
      </c>
      <c r="C13" t="s">
        <v>17</v>
      </c>
      <c r="D13" s="12">
        <v>46079</v>
      </c>
      <c r="E13" s="13" t="s">
        <v>133</v>
      </c>
      <c r="F13" s="11">
        <f ca="1">IFERROR(IF(ISBLANK(Tasks[[#This Row],[Due Date]]),"",IF(Tasks[[#This Row],[Done?]]="Yes",1,IF(OR(Tasks[[#This Row],[Due Date]]&gt;PlanDueDate,Tasks[[#This Row],[Done?]]="No"),-1,IF(OR(OR(Tasks[[#This Row],[Due Date]]=TODAY(),Tasks[[#This Row],[Due Date]]=PlanDueDate),Tasks[[#This Row],[Done?]]="Pending"),0,"")))),"")</f>
        <v>1</v>
      </c>
      <c r="G13" s="27" t="s">
        <v>136</v>
      </c>
    </row>
    <row r="14" spans="2:7" ht="30" customHeight="1" x14ac:dyDescent="0.3">
      <c r="B14" s="11">
        <f ca="1">Tasks[[#This Row],[Status Icon]]</f>
        <v>1</v>
      </c>
      <c r="C14" t="s">
        <v>18</v>
      </c>
      <c r="D14" s="12">
        <v>46079</v>
      </c>
      <c r="E14" s="13" t="s">
        <v>133</v>
      </c>
      <c r="F14" s="11">
        <f ca="1">IFERROR(IF(ISBLANK(Tasks[[#This Row],[Due Date]]),"",IF(Tasks[[#This Row],[Done?]]="Yes",1,IF(OR(Tasks[[#This Row],[Due Date]]&gt;PlanDueDate,Tasks[[#This Row],[Done?]]="No"),-1,IF(OR(OR(Tasks[[#This Row],[Due Date]]=TODAY(),Tasks[[#This Row],[Due Date]]=PlanDueDate),Tasks[[#This Row],[Done?]]="Pending"),0,"")))),"")</f>
        <v>1</v>
      </c>
      <c r="G14" s="27" t="s">
        <v>136</v>
      </c>
    </row>
    <row r="15" spans="2:7" ht="30" customHeight="1" x14ac:dyDescent="0.3">
      <c r="B15" s="11">
        <f ca="1">Tasks[[#This Row],[Status Icon]]</f>
        <v>1</v>
      </c>
      <c r="C15" t="s">
        <v>19</v>
      </c>
      <c r="D15" s="12">
        <v>46079</v>
      </c>
      <c r="E15" s="13" t="s">
        <v>133</v>
      </c>
      <c r="F15" s="11">
        <f ca="1">IFERROR(IF(ISBLANK(Tasks[[#This Row],[Due Date]]),"",IF(Tasks[[#This Row],[Done?]]="Yes",1,IF(OR(Tasks[[#This Row],[Due Date]]&gt;PlanDueDate,Tasks[[#This Row],[Done?]]="No"),-1,IF(OR(OR(Tasks[[#This Row],[Due Date]]=TODAY(),Tasks[[#This Row],[Due Date]]=PlanDueDate),Tasks[[#This Row],[Done?]]="Pending"),0,"")))),"")</f>
        <v>1</v>
      </c>
      <c r="G15" s="27" t="s">
        <v>138</v>
      </c>
    </row>
    <row r="16" spans="2:7" ht="30" customHeight="1" x14ac:dyDescent="0.3">
      <c r="B16" s="11">
        <f ca="1">Tasks[[#This Row],[Status Icon]]</f>
        <v>1</v>
      </c>
      <c r="C16" t="s">
        <v>20</v>
      </c>
      <c r="D16" s="12">
        <v>46079</v>
      </c>
      <c r="E16" s="13" t="s">
        <v>133</v>
      </c>
      <c r="F16" s="11">
        <f ca="1">IFERROR(IF(ISBLANK(Tasks[[#This Row],[Due Date]]),"",IF(Tasks[[#This Row],[Done?]]="Yes",1,IF(OR(Tasks[[#This Row],[Due Date]]&gt;PlanDueDate,Tasks[[#This Row],[Done?]]="No"),-1,IF(OR(OR(Tasks[[#This Row],[Due Date]]=TODAY(),Tasks[[#This Row],[Due Date]]=PlanDueDate),Tasks[[#This Row],[Done?]]="Pending"),0,"")))),"")</f>
        <v>1</v>
      </c>
      <c r="G16" s="27" t="s">
        <v>138</v>
      </c>
    </row>
    <row r="17" spans="2:7" ht="30" customHeight="1" x14ac:dyDescent="0.3">
      <c r="B17" s="11">
        <f ca="1">Tasks[[#This Row],[Status Icon]]</f>
        <v>1</v>
      </c>
      <c r="C17" t="s">
        <v>21</v>
      </c>
      <c r="D17" s="12">
        <v>46079</v>
      </c>
      <c r="E17" s="13" t="s">
        <v>133</v>
      </c>
      <c r="F17" s="11">
        <f ca="1">IFERROR(IF(ISBLANK(Tasks[[#This Row],[Due Date]]),"",IF(Tasks[[#This Row],[Done?]]="Yes",1,IF(OR(Tasks[[#This Row],[Due Date]]&gt;PlanDueDate,Tasks[[#This Row],[Done?]]="No"),-1,IF(OR(OR(Tasks[[#This Row],[Due Date]]=TODAY(),Tasks[[#This Row],[Due Date]]=PlanDueDate),Tasks[[#This Row],[Done?]]="Pending"),0,"")))),"")</f>
        <v>1</v>
      </c>
      <c r="G17" s="27" t="s">
        <v>139</v>
      </c>
    </row>
    <row r="18" spans="2:7" ht="30" customHeight="1" x14ac:dyDescent="0.3">
      <c r="B18" s="11" t="str">
        <f ca="1">Tasks[[#This Row],[Status Icon]]</f>
        <v/>
      </c>
      <c r="C18" s="22" t="s">
        <v>85</v>
      </c>
      <c r="D18" s="23"/>
      <c r="E18" s="24"/>
      <c r="F18" s="25" t="str">
        <f ca="1">IFERROR(IF(ISBLANK(Tasks[[#This Row],[Due Date]]),"",IF(Tasks[[#This Row],[Done?]]="Yes",1,IF(OR(Tasks[[#This Row],[Due Date]]&gt;PlanDueDate,Tasks[[#This Row],[Done?]]="No"),-1,IF(OR(OR(Tasks[[#This Row],[Due Date]]=TODAY(),Tasks[[#This Row],[Due Date]]=PlanDueDate),Tasks[[#This Row],[Done?]]="Pending"),0,"")))),"")</f>
        <v/>
      </c>
      <c r="G18" s="29"/>
    </row>
    <row r="19" spans="2:7" ht="30" customHeight="1" x14ac:dyDescent="0.3">
      <c r="B19" s="11">
        <f ca="1">Tasks[[#This Row],[Status Icon]]</f>
        <v>1</v>
      </c>
      <c r="C19" t="s">
        <v>35</v>
      </c>
      <c r="D19" s="12">
        <v>46086</v>
      </c>
      <c r="E19" s="13" t="s">
        <v>133</v>
      </c>
      <c r="F19" s="11">
        <f ca="1">IFERROR(IF(ISBLANK(Tasks[[#This Row],[Due Date]]),"",IF(Tasks[[#This Row],[Done?]]="Yes",1,IF(OR(Tasks[[#This Row],[Due Date]]&gt;PlanDueDate,Tasks[[#This Row],[Done?]]="No"),-1,IF(OR(OR(Tasks[[#This Row],[Due Date]]=TODAY(),Tasks[[#This Row],[Due Date]]=PlanDueDate),Tasks[[#This Row],[Done?]]="Pending"),0,"")))),"")</f>
        <v>1</v>
      </c>
      <c r="G19" s="27" t="s">
        <v>136</v>
      </c>
    </row>
    <row r="20" spans="2:7" ht="30" customHeight="1" x14ac:dyDescent="0.3">
      <c r="B20" s="11">
        <f ca="1">Tasks[[#This Row],[Status Icon]]</f>
        <v>1</v>
      </c>
      <c r="C20" t="s">
        <v>36</v>
      </c>
      <c r="D20" s="12">
        <v>46086</v>
      </c>
      <c r="E20" s="13" t="s">
        <v>133</v>
      </c>
      <c r="F20" s="11">
        <f ca="1">IFERROR(IF(ISBLANK(Tasks[[#This Row],[Due Date]]),"",IF(Tasks[[#This Row],[Done?]]="Yes",1,IF(OR(Tasks[[#This Row],[Due Date]]&gt;PlanDueDate,Tasks[[#This Row],[Done?]]="No"),-1,IF(OR(OR(Tasks[[#This Row],[Due Date]]=TODAY(),Tasks[[#This Row],[Due Date]]=PlanDueDate),Tasks[[#This Row],[Done?]]="Pending"),0,"")))),"")</f>
        <v>1</v>
      </c>
      <c r="G20" s="27" t="s">
        <v>138</v>
      </c>
    </row>
    <row r="21" spans="2:7" ht="30" customHeight="1" x14ac:dyDescent="0.3">
      <c r="B21" s="11">
        <f ca="1">Tasks[[#This Row],[Status Icon]]</f>
        <v>1</v>
      </c>
      <c r="C21" t="s">
        <v>37</v>
      </c>
      <c r="D21" s="12">
        <v>46086</v>
      </c>
      <c r="E21" s="13" t="s">
        <v>133</v>
      </c>
      <c r="F21" s="11">
        <f ca="1">IFERROR(IF(ISBLANK(Tasks[[#This Row],[Due Date]]),"",IF(Tasks[[#This Row],[Done?]]="Yes",1,IF(OR(Tasks[[#This Row],[Due Date]]&gt;PlanDueDate,Tasks[[#This Row],[Done?]]="No"),-1,IF(OR(OR(Tasks[[#This Row],[Due Date]]=TODAY(),Tasks[[#This Row],[Due Date]]=PlanDueDate),Tasks[[#This Row],[Done?]]="Pending"),0,"")))),"")</f>
        <v>1</v>
      </c>
      <c r="G21" s="27" t="s">
        <v>138</v>
      </c>
    </row>
    <row r="22" spans="2:7" ht="30" customHeight="1" x14ac:dyDescent="0.3">
      <c r="B22" s="11">
        <f ca="1">Tasks[[#This Row],[Status Icon]]</f>
        <v>1</v>
      </c>
      <c r="C22" t="s">
        <v>38</v>
      </c>
      <c r="D22" s="12">
        <v>46086</v>
      </c>
      <c r="E22" s="13" t="s">
        <v>133</v>
      </c>
      <c r="F22" s="11">
        <f ca="1">IFERROR(IF(ISBLANK(Tasks[[#This Row],[Due Date]]),"",IF(Tasks[[#This Row],[Done?]]="Yes",1,IF(OR(Tasks[[#This Row],[Due Date]]&gt;PlanDueDate,Tasks[[#This Row],[Done?]]="No"),-1,IF(OR(OR(Tasks[[#This Row],[Due Date]]=TODAY(),Tasks[[#This Row],[Due Date]]=PlanDueDate),Tasks[[#This Row],[Done?]]="Pending"),0,"")))),"")</f>
        <v>1</v>
      </c>
      <c r="G22" s="27" t="s">
        <v>138</v>
      </c>
    </row>
    <row r="23" spans="2:7" ht="30" customHeight="1" x14ac:dyDescent="0.3">
      <c r="B23" s="11">
        <f ca="1">Tasks[[#This Row],[Status Icon]]</f>
        <v>1</v>
      </c>
      <c r="C23" t="s">
        <v>39</v>
      </c>
      <c r="D23" s="12">
        <v>46086</v>
      </c>
      <c r="E23" s="13" t="s">
        <v>133</v>
      </c>
      <c r="F23" s="11">
        <f ca="1">IFERROR(IF(ISBLANK(Tasks[[#This Row],[Due Date]]),"",IF(Tasks[[#This Row],[Done?]]="Yes",1,IF(OR(Tasks[[#This Row],[Due Date]]&gt;PlanDueDate,Tasks[[#This Row],[Done?]]="No"),-1,IF(OR(OR(Tasks[[#This Row],[Due Date]]=TODAY(),Tasks[[#This Row],[Due Date]]=PlanDueDate),Tasks[[#This Row],[Done?]]="Pending"),0,"")))),"")</f>
        <v>1</v>
      </c>
      <c r="G23" s="27" t="s">
        <v>136</v>
      </c>
    </row>
    <row r="24" spans="2:7" ht="30" customHeight="1" x14ac:dyDescent="0.3">
      <c r="B24" s="11">
        <f ca="1">Tasks[[#This Row],[Status Icon]]</f>
        <v>1</v>
      </c>
      <c r="C24" t="s">
        <v>40</v>
      </c>
      <c r="D24" s="12">
        <v>46086</v>
      </c>
      <c r="E24" s="13" t="s">
        <v>133</v>
      </c>
      <c r="F24" s="11">
        <f ca="1">IFERROR(IF(ISBLANK(Tasks[[#This Row],[Due Date]]),"",IF(Tasks[[#This Row],[Done?]]="Yes",1,IF(OR(Tasks[[#This Row],[Due Date]]&gt;PlanDueDate,Tasks[[#This Row],[Done?]]="No"),-1,IF(OR(OR(Tasks[[#This Row],[Due Date]]=TODAY(),Tasks[[#This Row],[Due Date]]=PlanDueDate),Tasks[[#This Row],[Done?]]="Pending"),0,"")))),"")</f>
        <v>1</v>
      </c>
      <c r="G24" s="27" t="s">
        <v>139</v>
      </c>
    </row>
    <row r="25" spans="2:7" ht="30" customHeight="1" x14ac:dyDescent="0.3">
      <c r="B25" s="11">
        <f ca="1">Tasks[[#This Row],[Status Icon]]</f>
        <v>1</v>
      </c>
      <c r="C25" t="s">
        <v>41</v>
      </c>
      <c r="D25" s="12">
        <v>46086</v>
      </c>
      <c r="E25" s="13" t="s">
        <v>133</v>
      </c>
      <c r="F25" s="11">
        <f ca="1">IFERROR(IF(ISBLANK(Tasks[[#This Row],[Due Date]]),"",IF(Tasks[[#This Row],[Done?]]="Yes",1,IF(OR(Tasks[[#This Row],[Due Date]]&gt;PlanDueDate,Tasks[[#This Row],[Done?]]="No"),-1,IF(OR(OR(Tasks[[#This Row],[Due Date]]=TODAY(),Tasks[[#This Row],[Due Date]]=PlanDueDate),Tasks[[#This Row],[Done?]]="Pending"),0,"")))),"")</f>
        <v>1</v>
      </c>
      <c r="G25" s="27" t="s">
        <v>139</v>
      </c>
    </row>
    <row r="26" spans="2:7" ht="30" customHeight="1" x14ac:dyDescent="0.3">
      <c r="B26" s="11" t="str">
        <f ca="1">Tasks[[#This Row],[Status Icon]]</f>
        <v/>
      </c>
      <c r="C26" s="22" t="s">
        <v>86</v>
      </c>
      <c r="D26" s="23"/>
      <c r="E26" s="24"/>
      <c r="F26" s="25" t="str">
        <f ca="1">IFERROR(IF(ISBLANK(Tasks[[#This Row],[Due Date]]),"",IF(Tasks[[#This Row],[Done?]]="Yes",1,IF(OR(Tasks[[#This Row],[Due Date]]&gt;PlanDueDate,Tasks[[#This Row],[Done?]]="No"),-1,IF(OR(OR(Tasks[[#This Row],[Due Date]]=TODAY(),Tasks[[#This Row],[Due Date]]=PlanDueDate),Tasks[[#This Row],[Done?]]="Pending"),0,"")))),"")</f>
        <v/>
      </c>
      <c r="G26" s="25"/>
    </row>
    <row r="27" spans="2:7" ht="30" customHeight="1" x14ac:dyDescent="0.3">
      <c r="B27" s="11">
        <f ca="1">Tasks[[#This Row],[Status Icon]]</f>
        <v>1</v>
      </c>
      <c r="C27" t="s">
        <v>22</v>
      </c>
      <c r="D27" s="12">
        <v>46093</v>
      </c>
      <c r="E27" s="13" t="s">
        <v>133</v>
      </c>
      <c r="F27" s="11">
        <f ca="1">IFERROR(IF(ISBLANK(Tasks[[#This Row],[Due Date]]),"",IF(Tasks[[#This Row],[Done?]]="Yes",1,IF(OR(Tasks[[#This Row],[Due Date]]&gt;PlanDueDate,Tasks[[#This Row],[Done?]]="No"),-1,IF(OR(OR(Tasks[[#This Row],[Due Date]]=TODAY(),Tasks[[#This Row],[Due Date]]=PlanDueDate),Tasks[[#This Row],[Done?]]="Pending"),0,"")))),"")</f>
        <v>1</v>
      </c>
      <c r="G27" s="30" t="s">
        <v>136</v>
      </c>
    </row>
    <row r="28" spans="2:7" ht="30" customHeight="1" x14ac:dyDescent="0.3">
      <c r="B28" s="11">
        <f ca="1">Tasks[[#This Row],[Status Icon]]</f>
        <v>1</v>
      </c>
      <c r="C28" t="s">
        <v>23</v>
      </c>
      <c r="D28" s="12">
        <v>46093</v>
      </c>
      <c r="E28" s="13" t="s">
        <v>133</v>
      </c>
      <c r="F28" s="11">
        <f ca="1">IFERROR(IF(ISBLANK(Tasks[[#This Row],[Due Date]]),"",IF(Tasks[[#This Row],[Done?]]="Yes",1,IF(OR(Tasks[[#This Row],[Due Date]]&gt;PlanDueDate,Tasks[[#This Row],[Done?]]="No"),-1,IF(OR(OR(Tasks[[#This Row],[Due Date]]=TODAY(),Tasks[[#This Row],[Due Date]]=PlanDueDate),Tasks[[#This Row],[Done?]]="Pending"),0,"")))),"")</f>
        <v>1</v>
      </c>
      <c r="G28" s="11" t="s">
        <v>139</v>
      </c>
    </row>
    <row r="29" spans="2:7" ht="30" customHeight="1" x14ac:dyDescent="0.3">
      <c r="B29" s="11" t="str">
        <f ca="1">Tasks[[#This Row],[Status Icon]]</f>
        <v/>
      </c>
      <c r="C29" s="22" t="s">
        <v>87</v>
      </c>
      <c r="D29" s="23"/>
      <c r="E29" s="24"/>
      <c r="F29" s="25" t="str">
        <f ca="1">IFERROR(IF(ISBLANK(Tasks[[#This Row],[Due Date]]),"",IF(Tasks[[#This Row],[Done?]]="Yes",1,IF(OR(Tasks[[#This Row],[Due Date]]&gt;PlanDueDate,Tasks[[#This Row],[Done?]]="No"),-1,IF(OR(OR(Tasks[[#This Row],[Due Date]]=TODAY(),Tasks[[#This Row],[Due Date]]=PlanDueDate),Tasks[[#This Row],[Done?]]="Pending"),0,"")))),"")</f>
        <v/>
      </c>
      <c r="G29" s="25"/>
    </row>
    <row r="30" spans="2:7" ht="30" customHeight="1" x14ac:dyDescent="0.3">
      <c r="B30" s="11">
        <f ca="1">Tasks[[#This Row],[Status Icon]]</f>
        <v>1</v>
      </c>
      <c r="C30" t="s">
        <v>24</v>
      </c>
      <c r="D30" s="12">
        <v>46093</v>
      </c>
      <c r="E30" s="13" t="s">
        <v>133</v>
      </c>
      <c r="F30" s="11">
        <f ca="1">IFERROR(IF(ISBLANK(Tasks[[#This Row],[Due Date]]),"",IF(Tasks[[#This Row],[Done?]]="Yes",1,IF(OR(Tasks[[#This Row],[Due Date]]&gt;PlanDueDate,Tasks[[#This Row],[Done?]]="No"),-1,IF(OR(OR(Tasks[[#This Row],[Due Date]]=TODAY(),Tasks[[#This Row],[Due Date]]=PlanDueDate),Tasks[[#This Row],[Done?]]="Pending"),0,"")))),"")</f>
        <v>1</v>
      </c>
      <c r="G30" s="11" t="s">
        <v>138</v>
      </c>
    </row>
    <row r="31" spans="2:7" ht="30" customHeight="1" x14ac:dyDescent="0.3">
      <c r="B31" s="11" t="str">
        <f ca="1">Tasks[[#This Row],[Status Icon]]</f>
        <v/>
      </c>
      <c r="C31" s="14" t="s">
        <v>88</v>
      </c>
      <c r="D31" s="31"/>
      <c r="E31" s="32"/>
      <c r="F31" s="17" t="str">
        <f ca="1">IFERROR(IF(ISBLANK(Tasks[[#This Row],[Due Date]]),"",IF(Tasks[[#This Row],[Done?]]="Yes",1,IF(OR(Tasks[[#This Row],[Due Date]]&gt;PlanDueDate,Tasks[[#This Row],[Done?]]="No"),-1,IF(OR(OR(Tasks[[#This Row],[Due Date]]=TODAY(),Tasks[[#This Row],[Due Date]]=PlanDueDate),Tasks[[#This Row],[Done?]]="Pending"),0,"")))),"")</f>
        <v/>
      </c>
      <c r="G31" s="17"/>
    </row>
    <row r="32" spans="2:7" ht="30" customHeight="1" x14ac:dyDescent="0.3">
      <c r="B32" s="11">
        <f ca="1">Tasks[[#This Row],[Status Icon]]</f>
        <v>1</v>
      </c>
      <c r="C32" t="s">
        <v>25</v>
      </c>
      <c r="D32" s="12">
        <v>46100</v>
      </c>
      <c r="E32" s="13" t="s">
        <v>133</v>
      </c>
      <c r="F32" s="11">
        <f ca="1">IFERROR(IF(ISBLANK(Tasks[[#This Row],[Due Date]]),"",IF(Tasks[[#This Row],[Done?]]="Yes",1,IF(OR(Tasks[[#This Row],[Due Date]]&gt;PlanDueDate,Tasks[[#This Row],[Done?]]="No"),-1,IF(OR(OR(Tasks[[#This Row],[Due Date]]=TODAY(),Tasks[[#This Row],[Due Date]]=PlanDueDate),Tasks[[#This Row],[Done?]]="Pending"),0,"")))),"")</f>
        <v>1</v>
      </c>
      <c r="G32" s="11" t="s">
        <v>136</v>
      </c>
    </row>
    <row r="33" spans="2:7" ht="30" customHeight="1" x14ac:dyDescent="0.3">
      <c r="B33" s="11">
        <f ca="1">Tasks[[#This Row],[Status Icon]]</f>
        <v>1</v>
      </c>
      <c r="C33" t="s">
        <v>26</v>
      </c>
      <c r="D33" s="12">
        <v>46100</v>
      </c>
      <c r="E33" s="13" t="s">
        <v>133</v>
      </c>
      <c r="F33" s="11">
        <f ca="1">IFERROR(IF(ISBLANK(Tasks[[#This Row],[Due Date]]),"",IF(Tasks[[#This Row],[Done?]]="Yes",1,IF(OR(Tasks[[#This Row],[Due Date]]&gt;PlanDueDate,Tasks[[#This Row],[Done?]]="No"),-1,IF(OR(OR(Tasks[[#This Row],[Due Date]]=TODAY(),Tasks[[#This Row],[Due Date]]=PlanDueDate),Tasks[[#This Row],[Done?]]="Pending"),0,"")))),"")</f>
        <v>1</v>
      </c>
      <c r="G33" s="11" t="s">
        <v>138</v>
      </c>
    </row>
    <row r="34" spans="2:7" ht="30" customHeight="1" x14ac:dyDescent="0.3">
      <c r="B34" s="11">
        <f ca="1">Tasks[[#This Row],[Status Icon]]</f>
        <v>1</v>
      </c>
      <c r="C34" t="s">
        <v>140</v>
      </c>
      <c r="D34" s="12">
        <v>46100</v>
      </c>
      <c r="E34" s="13" t="s">
        <v>133</v>
      </c>
      <c r="F34" s="11">
        <f ca="1">IFERROR(IF(ISBLANK(Tasks[[#This Row],[Due Date]]),"",IF(Tasks[[#This Row],[Done?]]="Yes",1,IF(OR(Tasks[[#This Row],[Due Date]]&gt;PlanDueDate,Tasks[[#This Row],[Done?]]="No"),-1,IF(OR(OR(Tasks[[#This Row],[Due Date]]=TODAY(),Tasks[[#This Row],[Due Date]]=PlanDueDate),Tasks[[#This Row],[Done?]]="Pending"),0,"")))),"")</f>
        <v>1</v>
      </c>
      <c r="G34" s="11" t="s">
        <v>138</v>
      </c>
    </row>
    <row r="35" spans="2:7" ht="30" customHeight="1" x14ac:dyDescent="0.3">
      <c r="B35" s="11" t="str">
        <f ca="1">Tasks[[#This Row],[Status Icon]]</f>
        <v/>
      </c>
      <c r="C35" s="14" t="s">
        <v>89</v>
      </c>
      <c r="D35" s="31"/>
      <c r="E35" s="32"/>
      <c r="F35" s="17" t="str">
        <f ca="1">IFERROR(IF(ISBLANK(Tasks[[#This Row],[Due Date]]),"",IF(Tasks[[#This Row],[Done?]]="Yes",1,IF(OR(Tasks[[#This Row],[Due Date]]&gt;PlanDueDate,Tasks[[#This Row],[Done?]]="No"),-1,IF(OR(OR(Tasks[[#This Row],[Due Date]]=TODAY(),Tasks[[#This Row],[Due Date]]=PlanDueDate),Tasks[[#This Row],[Done?]]="Pending"),0,"")))),"")</f>
        <v/>
      </c>
      <c r="G35" s="26"/>
    </row>
    <row r="36" spans="2:7" ht="30" customHeight="1" x14ac:dyDescent="0.3">
      <c r="B36" s="11">
        <f ca="1">Tasks[[#This Row],[Status Icon]]</f>
        <v>1</v>
      </c>
      <c r="C36" t="s">
        <v>27</v>
      </c>
      <c r="D36" s="12">
        <v>46107</v>
      </c>
      <c r="E36" s="13" t="s">
        <v>133</v>
      </c>
      <c r="F36" s="11">
        <f ca="1">IFERROR(IF(ISBLANK(Tasks[[#This Row],[Due Date]]),"",IF(Tasks[[#This Row],[Done?]]="Yes",1,IF(OR(Tasks[[#This Row],[Due Date]]&gt;PlanDueDate,Tasks[[#This Row],[Done?]]="No"),-1,IF(OR(OR(Tasks[[#This Row],[Due Date]]=TODAY(),Tasks[[#This Row],[Due Date]]=PlanDueDate),Tasks[[#This Row],[Done?]]="Pending"),0,"")))),"")</f>
        <v>1</v>
      </c>
      <c r="G36" s="27" t="s">
        <v>136</v>
      </c>
    </row>
    <row r="37" spans="2:7" ht="30" customHeight="1" x14ac:dyDescent="0.3">
      <c r="B37" s="11">
        <f ca="1">Tasks[[#This Row],[Status Icon]]</f>
        <v>1</v>
      </c>
      <c r="C37" t="s">
        <v>28</v>
      </c>
      <c r="D37" s="12">
        <v>46107</v>
      </c>
      <c r="E37" s="13" t="s">
        <v>133</v>
      </c>
      <c r="F37" s="11">
        <f ca="1">IFERROR(IF(ISBLANK(Tasks[[#This Row],[Due Date]]),"",IF(Tasks[[#This Row],[Done?]]="Yes",1,IF(OR(Tasks[[#This Row],[Due Date]]&gt;PlanDueDate,Tasks[[#This Row],[Done?]]="No"),-1,IF(OR(OR(Tasks[[#This Row],[Due Date]]=TODAY(),Tasks[[#This Row],[Due Date]]=PlanDueDate),Tasks[[#This Row],[Done?]]="Pending"),0,"")))),"")</f>
        <v>1</v>
      </c>
      <c r="G37" s="27" t="s">
        <v>136</v>
      </c>
    </row>
    <row r="38" spans="2:7" ht="30" customHeight="1" x14ac:dyDescent="0.3">
      <c r="B38" s="11">
        <f ca="1">Tasks[[#This Row],[Status Icon]]</f>
        <v>1</v>
      </c>
      <c r="C38" t="s">
        <v>29</v>
      </c>
      <c r="D38" s="12">
        <v>46107</v>
      </c>
      <c r="E38" s="13" t="s">
        <v>133</v>
      </c>
      <c r="F38" s="11">
        <f ca="1">IFERROR(IF(ISBLANK(Tasks[[#This Row],[Due Date]]),"",IF(Tasks[[#This Row],[Done?]]="Yes",1,IF(OR(Tasks[[#This Row],[Due Date]]&gt;PlanDueDate,Tasks[[#This Row],[Done?]]="No"),-1,IF(OR(OR(Tasks[[#This Row],[Due Date]]=TODAY(),Tasks[[#This Row],[Due Date]]=PlanDueDate),Tasks[[#This Row],[Done?]]="Pending"),0,"")))),"")</f>
        <v>1</v>
      </c>
      <c r="G38" s="27" t="s">
        <v>136</v>
      </c>
    </row>
    <row r="39" spans="2:7" ht="30" customHeight="1" x14ac:dyDescent="0.3">
      <c r="B39" s="11" t="str">
        <f ca="1">Tasks[[#This Row],[Status Icon]]</f>
        <v/>
      </c>
      <c r="C39" s="14" t="s">
        <v>90</v>
      </c>
      <c r="D39" s="31"/>
      <c r="E39" s="32"/>
      <c r="F39" s="17" t="str">
        <f ca="1">IFERROR(IF(ISBLANK(Tasks[[#This Row],[Due Date]]),"",IF(Tasks[[#This Row],[Done?]]="Yes",1,IF(OR(Tasks[[#This Row],[Due Date]]&gt;PlanDueDate,Tasks[[#This Row],[Done?]]="No"),-1,IF(OR(OR(Tasks[[#This Row],[Due Date]]=TODAY(),Tasks[[#This Row],[Due Date]]=PlanDueDate),Tasks[[#This Row],[Done?]]="Pending"),0,"")))),"")</f>
        <v/>
      </c>
      <c r="G39" s="26"/>
    </row>
    <row r="40" spans="2:7" ht="30" customHeight="1" x14ac:dyDescent="0.3">
      <c r="B40" s="11">
        <f ca="1">Tasks[[#This Row],[Status Icon]]</f>
        <v>1</v>
      </c>
      <c r="C40" t="s">
        <v>31</v>
      </c>
      <c r="D40" s="12">
        <v>46107</v>
      </c>
      <c r="E40" s="13" t="s">
        <v>133</v>
      </c>
      <c r="F40" s="11">
        <f ca="1">IFERROR(IF(ISBLANK(Tasks[[#This Row],[Due Date]]),"",IF(Tasks[[#This Row],[Done?]]="Yes",1,IF(OR(Tasks[[#This Row],[Due Date]]&gt;PlanDueDate,Tasks[[#This Row],[Done?]]="No"),-1,IF(OR(OR(Tasks[[#This Row],[Due Date]]=TODAY(),Tasks[[#This Row],[Due Date]]=PlanDueDate),Tasks[[#This Row],[Done?]]="Pending"),0,"")))),"")</f>
        <v>1</v>
      </c>
      <c r="G40" s="27" t="s">
        <v>136</v>
      </c>
    </row>
    <row r="41" spans="2:7" ht="30" customHeight="1" x14ac:dyDescent="0.3">
      <c r="B41" s="11">
        <f ca="1">Tasks[[#This Row],[Status Icon]]</f>
        <v>1</v>
      </c>
      <c r="C41" t="s">
        <v>32</v>
      </c>
      <c r="D41" s="12">
        <v>46107</v>
      </c>
      <c r="E41" s="13" t="s">
        <v>133</v>
      </c>
      <c r="F41" s="11">
        <f ca="1">IFERROR(IF(ISBLANK(Tasks[[#This Row],[Due Date]]),"",IF(Tasks[[#This Row],[Done?]]="Yes",1,IF(OR(Tasks[[#This Row],[Due Date]]&gt;PlanDueDate,Tasks[[#This Row],[Done?]]="No"),-1,IF(OR(OR(Tasks[[#This Row],[Due Date]]=TODAY(),Tasks[[#This Row],[Due Date]]=PlanDueDate),Tasks[[#This Row],[Done?]]="Pending"),0,"")))),"")</f>
        <v>1</v>
      </c>
      <c r="G41" s="27" t="s">
        <v>136</v>
      </c>
    </row>
    <row r="42" spans="2:7" ht="30" customHeight="1" x14ac:dyDescent="0.3">
      <c r="B42" s="11">
        <f ca="1">Tasks[[#This Row],[Status Icon]]</f>
        <v>1</v>
      </c>
      <c r="C42" t="s">
        <v>33</v>
      </c>
      <c r="D42" s="12">
        <v>46107</v>
      </c>
      <c r="E42" s="13" t="s">
        <v>133</v>
      </c>
      <c r="F42" s="11">
        <f ca="1">IFERROR(IF(ISBLANK(Tasks[[#This Row],[Due Date]]),"",IF(Tasks[[#This Row],[Done?]]="Yes",1,IF(OR(Tasks[[#This Row],[Due Date]]&gt;PlanDueDate,Tasks[[#This Row],[Done?]]="No"),-1,IF(OR(OR(Tasks[[#This Row],[Due Date]]=TODAY(),Tasks[[#This Row],[Due Date]]=PlanDueDate),Tasks[[#This Row],[Done?]]="Pending"),0,"")))),"")</f>
        <v>1</v>
      </c>
      <c r="G42" s="27" t="s">
        <v>136</v>
      </c>
    </row>
    <row r="43" spans="2:7" ht="30" customHeight="1" x14ac:dyDescent="0.3">
      <c r="B43" s="11">
        <f ca="1">Tasks[[#This Row],[Status Icon]]</f>
        <v>1</v>
      </c>
      <c r="C43" t="s">
        <v>30</v>
      </c>
      <c r="D43" s="12">
        <v>46112</v>
      </c>
      <c r="E43" s="13" t="s">
        <v>133</v>
      </c>
      <c r="F43" s="11">
        <f ca="1">IFERROR(IF(ISBLANK(Tasks[[#This Row],[Due Date]]),"",IF(Tasks[[#This Row],[Done?]]="Yes",1,IF(OR(Tasks[[#This Row],[Due Date]]&gt;PlanDueDate,Tasks[[#This Row],[Done?]]="No"),-1,IF(OR(OR(Tasks[[#This Row],[Due Date]]=TODAY(),Tasks[[#This Row],[Due Date]]=PlanDueDate),Tasks[[#This Row],[Done?]]="Pending"),0,"")))),"")</f>
        <v>1</v>
      </c>
      <c r="G43" s="27" t="s">
        <v>136</v>
      </c>
    </row>
    <row r="44" spans="2:7" ht="30" customHeight="1" x14ac:dyDescent="0.3">
      <c r="B44" s="11">
        <f ca="1">Tasks[[#This Row],[Status Icon]]</f>
        <v>1</v>
      </c>
      <c r="C44" t="s">
        <v>34</v>
      </c>
      <c r="D44" s="12">
        <v>46112</v>
      </c>
      <c r="E44" s="13" t="s">
        <v>133</v>
      </c>
      <c r="F44" s="11">
        <f ca="1">IFERROR(IF(ISBLANK(Tasks[[#This Row],[Due Date]]),"",IF(Tasks[[#This Row],[Done?]]="Yes",1,IF(OR(Tasks[[#This Row],[Due Date]]&gt;PlanDueDate,Tasks[[#This Row],[Done?]]="No"),-1,IF(OR(OR(Tasks[[#This Row],[Due Date]]=TODAY(),Tasks[[#This Row],[Due Date]]=PlanDueDate),Tasks[[#This Row],[Done?]]="Pending"),0,"")))),"")</f>
        <v>1</v>
      </c>
      <c r="G44" s="27" t="s">
        <v>136</v>
      </c>
    </row>
    <row r="45" spans="2:7" ht="30" customHeight="1" x14ac:dyDescent="0.3">
      <c r="B45" s="11" t="str">
        <f ca="1">Tasks[[#This Row],[Status Icon]]</f>
        <v/>
      </c>
      <c r="C45" s="22" t="s">
        <v>94</v>
      </c>
      <c r="D45" s="23"/>
      <c r="E45" s="24"/>
      <c r="F45" s="25" t="str">
        <f ca="1">IFERROR(IF(ISBLANK(Tasks[[#This Row],[Due Date]]),"",IF(Tasks[[#This Row],[Done?]]="Yes",1,IF(OR(Tasks[[#This Row],[Due Date]]&gt;PlanDueDate,Tasks[[#This Row],[Done?]]="No"),-1,IF(OR(OR(Tasks[[#This Row],[Due Date]]=TODAY(),Tasks[[#This Row],[Due Date]]=PlanDueDate),Tasks[[#This Row],[Done?]]="Pending"),0,"")))),"")</f>
        <v/>
      </c>
      <c r="G45" s="29"/>
    </row>
    <row r="46" spans="2:7" ht="30" customHeight="1" x14ac:dyDescent="0.3">
      <c r="B46" s="11">
        <f ca="1">Tasks[[#This Row],[Status Icon]]</f>
        <v>1</v>
      </c>
      <c r="C46" t="s">
        <v>42</v>
      </c>
      <c r="D46" s="12">
        <v>46107</v>
      </c>
      <c r="E46" s="13" t="s">
        <v>133</v>
      </c>
      <c r="F46" s="11">
        <f ca="1">IFERROR(IF(ISBLANK(Tasks[[#This Row],[Due Date]]),"",IF(Tasks[[#This Row],[Done?]]="Yes",1,IF(OR(Tasks[[#This Row],[Due Date]]&gt;PlanDueDate,Tasks[[#This Row],[Done?]]="No"),-1,IF(OR(OR(Tasks[[#This Row],[Due Date]]=TODAY(),Tasks[[#This Row],[Due Date]]=PlanDueDate),Tasks[[#This Row],[Done?]]="Pending"),0,"")))),"")</f>
        <v>1</v>
      </c>
      <c r="G46" s="27" t="s">
        <v>138</v>
      </c>
    </row>
    <row r="47" spans="2:7" ht="30" customHeight="1" x14ac:dyDescent="0.3">
      <c r="B47" s="11">
        <f ca="1">Tasks[[#This Row],[Status Icon]]</f>
        <v>1</v>
      </c>
      <c r="C47" t="s">
        <v>141</v>
      </c>
      <c r="D47" s="12">
        <v>46107</v>
      </c>
      <c r="E47" s="13" t="s">
        <v>133</v>
      </c>
      <c r="F47" s="11">
        <f ca="1">IFERROR(IF(ISBLANK(Tasks[[#This Row],[Due Date]]),"",IF(Tasks[[#This Row],[Done?]]="Yes",1,IF(OR(Tasks[[#This Row],[Due Date]]&gt;PlanDueDate,Tasks[[#This Row],[Done?]]="No"),-1,IF(OR(OR(Tasks[[#This Row],[Due Date]]=TODAY(),Tasks[[#This Row],[Due Date]]=PlanDueDate),Tasks[[#This Row],[Done?]]="Pending"),0,"")))),"")</f>
        <v>1</v>
      </c>
      <c r="G47" s="27" t="s">
        <v>138</v>
      </c>
    </row>
    <row r="48" spans="2:7" ht="30" customHeight="1" x14ac:dyDescent="0.3">
      <c r="B48" s="11">
        <f ca="1">Tasks[[#This Row],[Status Icon]]</f>
        <v>1</v>
      </c>
      <c r="C48" t="s">
        <v>142</v>
      </c>
      <c r="D48" s="12">
        <v>46112</v>
      </c>
      <c r="E48" s="13" t="s">
        <v>133</v>
      </c>
      <c r="F48" s="11">
        <f ca="1">IFERROR(IF(ISBLANK(Tasks[[#This Row],[Due Date]]),"",IF(Tasks[[#This Row],[Done?]]="Yes",1,IF(OR(Tasks[[#This Row],[Due Date]]&gt;PlanDueDate,Tasks[[#This Row],[Done?]]="No"),-1,IF(OR(OR(Tasks[[#This Row],[Due Date]]=TODAY(),Tasks[[#This Row],[Due Date]]=PlanDueDate),Tasks[[#This Row],[Done?]]="Pending"),0,"")))),"")</f>
        <v>1</v>
      </c>
      <c r="G48" s="27" t="s">
        <v>138</v>
      </c>
    </row>
    <row r="49" spans="2:7" ht="30" customHeight="1" x14ac:dyDescent="0.3">
      <c r="B49" s="11">
        <f ca="1">Tasks[[#This Row],[Status Icon]]</f>
        <v>1</v>
      </c>
      <c r="C49" t="s">
        <v>143</v>
      </c>
      <c r="D49" s="12">
        <v>46112</v>
      </c>
      <c r="E49" s="13" t="s">
        <v>133</v>
      </c>
      <c r="F49" s="11">
        <f ca="1">IFERROR(IF(ISBLANK(Tasks[[#This Row],[Due Date]]),"",IF(Tasks[[#This Row],[Done?]]="Yes",1,IF(OR(Tasks[[#This Row],[Due Date]]&gt;PlanDueDate,Tasks[[#This Row],[Done?]]="No"),-1,IF(OR(OR(Tasks[[#This Row],[Due Date]]=TODAY(),Tasks[[#This Row],[Due Date]]=PlanDueDate),Tasks[[#This Row],[Done?]]="Pending"),0,"")))),"")</f>
        <v>1</v>
      </c>
      <c r="G49" s="27" t="s">
        <v>138</v>
      </c>
    </row>
    <row r="50" spans="2:7" ht="30" customHeight="1" x14ac:dyDescent="0.3">
      <c r="B50" s="11">
        <f ca="1">Tasks[[#This Row],[Status Icon]]</f>
        <v>1</v>
      </c>
      <c r="C50" t="s">
        <v>43</v>
      </c>
      <c r="D50" s="12">
        <v>46135</v>
      </c>
      <c r="E50" s="13" t="s">
        <v>133</v>
      </c>
      <c r="F50" s="11">
        <f ca="1">IFERROR(IF(ISBLANK(Tasks[[#This Row],[Due Date]]),"",IF(Tasks[[#This Row],[Done?]]="Yes",1,IF(OR(Tasks[[#This Row],[Due Date]]&gt;PlanDueDate,Tasks[[#This Row],[Done?]]="No"),-1,IF(OR(OR(Tasks[[#This Row],[Due Date]]=TODAY(),Tasks[[#This Row],[Due Date]]=PlanDueDate),Tasks[[#This Row],[Done?]]="Pending"),0,"")))),"")</f>
        <v>1</v>
      </c>
      <c r="G50" s="27" t="s">
        <v>136</v>
      </c>
    </row>
    <row r="51" spans="2:7" ht="30" customHeight="1" x14ac:dyDescent="0.3">
      <c r="B51" s="11">
        <f ca="1">Tasks[[#This Row],[Status Icon]]</f>
        <v>1</v>
      </c>
      <c r="C51" t="s">
        <v>44</v>
      </c>
      <c r="D51" s="12">
        <v>46135</v>
      </c>
      <c r="E51" s="13" t="s">
        <v>133</v>
      </c>
      <c r="F51" s="11">
        <f ca="1">IFERROR(IF(ISBLANK(Tasks[[#This Row],[Due Date]]),"",IF(Tasks[[#This Row],[Done?]]="Yes",1,IF(OR(Tasks[[#This Row],[Due Date]]&gt;PlanDueDate,Tasks[[#This Row],[Done?]]="No"),-1,IF(OR(OR(Tasks[[#This Row],[Due Date]]=TODAY(),Tasks[[#This Row],[Due Date]]=PlanDueDate),Tasks[[#This Row],[Done?]]="Pending"),0,"")))),"")</f>
        <v>1</v>
      </c>
      <c r="G51" s="27" t="s">
        <v>136</v>
      </c>
    </row>
    <row r="52" spans="2:7" ht="30" customHeight="1" x14ac:dyDescent="0.3">
      <c r="B52" s="11">
        <f ca="1">Tasks[[#This Row],[Status Icon]]</f>
        <v>1</v>
      </c>
      <c r="C52" t="s">
        <v>45</v>
      </c>
      <c r="D52" s="12">
        <v>46135</v>
      </c>
      <c r="E52" s="13" t="s">
        <v>133</v>
      </c>
      <c r="F52" s="11">
        <f ca="1">IFERROR(IF(ISBLANK(Tasks[[#This Row],[Due Date]]),"",IF(Tasks[[#This Row],[Done?]]="Yes",1,IF(OR(Tasks[[#This Row],[Due Date]]&gt;PlanDueDate,Tasks[[#This Row],[Done?]]="No"),-1,IF(OR(OR(Tasks[[#This Row],[Due Date]]=TODAY(),Tasks[[#This Row],[Due Date]]=PlanDueDate),Tasks[[#This Row],[Done?]]="Pending"),0,"")))),"")</f>
        <v>1</v>
      </c>
      <c r="G52" s="27" t="s">
        <v>136</v>
      </c>
    </row>
    <row r="53" spans="2:7" ht="30" customHeight="1" x14ac:dyDescent="0.3">
      <c r="B53" s="11">
        <f ca="1">Tasks[[#This Row],[Status Icon]]</f>
        <v>1</v>
      </c>
      <c r="C53" t="s">
        <v>46</v>
      </c>
      <c r="D53" s="12">
        <v>46135</v>
      </c>
      <c r="E53" s="13" t="s">
        <v>133</v>
      </c>
      <c r="F53" s="11">
        <f ca="1">IFERROR(IF(ISBLANK(Tasks[[#This Row],[Due Date]]),"",IF(Tasks[[#This Row],[Done?]]="Yes",1,IF(OR(Tasks[[#This Row],[Due Date]]&gt;PlanDueDate,Tasks[[#This Row],[Done?]]="No"),-1,IF(OR(OR(Tasks[[#This Row],[Due Date]]=TODAY(),Tasks[[#This Row],[Due Date]]=PlanDueDate),Tasks[[#This Row],[Done?]]="Pending"),0,"")))),"")</f>
        <v>1</v>
      </c>
      <c r="G53" s="27" t="s">
        <v>136</v>
      </c>
    </row>
    <row r="54" spans="2:7" ht="30" customHeight="1" x14ac:dyDescent="0.3">
      <c r="B54" s="11">
        <f ca="1">Tasks[[#This Row],[Status Icon]]</f>
        <v>1</v>
      </c>
      <c r="C54" t="s">
        <v>47</v>
      </c>
      <c r="D54" s="12">
        <v>46111</v>
      </c>
      <c r="E54" s="13" t="s">
        <v>133</v>
      </c>
      <c r="F54" s="11">
        <f ca="1">IFERROR(IF(ISBLANK(Tasks[[#This Row],[Due Date]]),"",IF(Tasks[[#This Row],[Done?]]="Yes",1,IF(OR(Tasks[[#This Row],[Due Date]]&gt;PlanDueDate,Tasks[[#This Row],[Done?]]="No"),-1,IF(OR(OR(Tasks[[#This Row],[Due Date]]=TODAY(),Tasks[[#This Row],[Due Date]]=PlanDueDate),Tasks[[#This Row],[Done?]]="Pending"),0,"")))),"")</f>
        <v>1</v>
      </c>
      <c r="G54" s="27" t="s">
        <v>136</v>
      </c>
    </row>
    <row r="55" spans="2:7" ht="30" customHeight="1" x14ac:dyDescent="0.3">
      <c r="B55" s="11" t="str">
        <f ca="1">Tasks[[#This Row],[Status Icon]]</f>
        <v/>
      </c>
      <c r="C55" s="22" t="s">
        <v>91</v>
      </c>
      <c r="D55" s="23"/>
      <c r="E55" s="24"/>
      <c r="F55" s="25" t="str">
        <f ca="1">IFERROR(IF(ISBLANK(Tasks[[#This Row],[Due Date]]),"",IF(Tasks[[#This Row],[Done?]]="Yes",1,IF(OR(Tasks[[#This Row],[Due Date]]&gt;PlanDueDate,Tasks[[#This Row],[Done?]]="No"),-1,IF(OR(OR(Tasks[[#This Row],[Due Date]]=TODAY(),Tasks[[#This Row],[Due Date]]=PlanDueDate),Tasks[[#This Row],[Done?]]="Pending"),0,"")))),"")</f>
        <v/>
      </c>
      <c r="G55" s="29"/>
    </row>
    <row r="56" spans="2:7" ht="30" customHeight="1" x14ac:dyDescent="0.3">
      <c r="B56" s="11">
        <f ca="1">Tasks[[#This Row],[Status Icon]]</f>
        <v>1</v>
      </c>
      <c r="C56" t="s">
        <v>48</v>
      </c>
      <c r="D56" s="12">
        <v>46111</v>
      </c>
      <c r="E56" s="13" t="s">
        <v>133</v>
      </c>
      <c r="F56" s="11">
        <f ca="1">IFERROR(IF(ISBLANK(Tasks[[#This Row],[Due Date]]),"",IF(Tasks[[#This Row],[Done?]]="Yes",1,IF(OR(Tasks[[#This Row],[Due Date]]&gt;PlanDueDate,Tasks[[#This Row],[Done?]]="No"),-1,IF(OR(OR(Tasks[[#This Row],[Due Date]]=TODAY(),Tasks[[#This Row],[Due Date]]=PlanDueDate),Tasks[[#This Row],[Done?]]="Pending"),0,"")))),"")</f>
        <v>1</v>
      </c>
      <c r="G56" s="27" t="s">
        <v>136</v>
      </c>
    </row>
    <row r="57" spans="2:7" ht="30" customHeight="1" x14ac:dyDescent="0.3">
      <c r="B57" s="11">
        <f ca="1">Tasks[[#This Row],[Status Icon]]</f>
        <v>1</v>
      </c>
      <c r="C57" t="s">
        <v>49</v>
      </c>
      <c r="D57" s="12">
        <v>46111</v>
      </c>
      <c r="E57" s="13" t="s">
        <v>133</v>
      </c>
      <c r="F57" s="11">
        <f ca="1">IFERROR(IF(ISBLANK(Tasks[[#This Row],[Due Date]]),"",IF(Tasks[[#This Row],[Done?]]="Yes",1,IF(OR(Tasks[[#This Row],[Due Date]]&gt;PlanDueDate,Tasks[[#This Row],[Done?]]="No"),-1,IF(OR(OR(Tasks[[#This Row],[Due Date]]=TODAY(),Tasks[[#This Row],[Due Date]]=PlanDueDate),Tasks[[#This Row],[Done?]]="Pending"),0,"")))),"")</f>
        <v>1</v>
      </c>
      <c r="G57" s="27" t="s">
        <v>136</v>
      </c>
    </row>
    <row r="58" spans="2:7" ht="30" customHeight="1" x14ac:dyDescent="0.3">
      <c r="B58" s="11">
        <f ca="1">Tasks[[#This Row],[Status Icon]]</f>
        <v>1</v>
      </c>
      <c r="C58" t="s">
        <v>50</v>
      </c>
      <c r="D58" s="12">
        <v>46111</v>
      </c>
      <c r="E58" s="13" t="s">
        <v>133</v>
      </c>
      <c r="F58" s="11">
        <f ca="1">IFERROR(IF(ISBLANK(Tasks[[#This Row],[Due Date]]),"",IF(Tasks[[#This Row],[Done?]]="Yes",1,IF(OR(Tasks[[#This Row],[Due Date]]&gt;PlanDueDate,Tasks[[#This Row],[Done?]]="No"),-1,IF(OR(OR(Tasks[[#This Row],[Due Date]]=TODAY(),Tasks[[#This Row],[Due Date]]=PlanDueDate),Tasks[[#This Row],[Done?]]="Pending"),0,"")))),"")</f>
        <v>1</v>
      </c>
      <c r="G58" s="27" t="s">
        <v>136</v>
      </c>
    </row>
    <row r="59" spans="2:7" ht="30" customHeight="1" x14ac:dyDescent="0.3">
      <c r="B59" s="11">
        <f ca="1">Tasks[[#This Row],[Status Icon]]</f>
        <v>1</v>
      </c>
      <c r="C59" t="s">
        <v>51</v>
      </c>
      <c r="D59" s="12">
        <v>46111</v>
      </c>
      <c r="E59" s="13" t="s">
        <v>133</v>
      </c>
      <c r="F59" s="11">
        <f ca="1">IFERROR(IF(ISBLANK(Tasks[[#This Row],[Due Date]]),"",IF(Tasks[[#This Row],[Done?]]="Yes",1,IF(OR(Tasks[[#This Row],[Due Date]]&gt;PlanDueDate,Tasks[[#This Row],[Done?]]="No"),-1,IF(OR(OR(Tasks[[#This Row],[Due Date]]=TODAY(),Tasks[[#This Row],[Due Date]]=PlanDueDate),Tasks[[#This Row],[Done?]]="Pending"),0,"")))),"")</f>
        <v>1</v>
      </c>
      <c r="G59" s="27" t="s">
        <v>136</v>
      </c>
    </row>
    <row r="60" spans="2:7" ht="30" customHeight="1" x14ac:dyDescent="0.3">
      <c r="B60" s="11" t="str">
        <f ca="1">Tasks[[#This Row],[Status Icon]]</f>
        <v/>
      </c>
      <c r="C60" s="22" t="s">
        <v>92</v>
      </c>
      <c r="D60" s="23"/>
      <c r="E60" s="24"/>
      <c r="F60" s="25" t="str">
        <f ca="1">IFERROR(IF(ISBLANK(Tasks[[#This Row],[Due Date]]),"",IF(Tasks[[#This Row],[Done?]]="Yes",1,IF(OR(Tasks[[#This Row],[Due Date]]&gt;PlanDueDate,Tasks[[#This Row],[Done?]]="No"),-1,IF(OR(OR(Tasks[[#This Row],[Due Date]]=TODAY(),Tasks[[#This Row],[Due Date]]=PlanDueDate),Tasks[[#This Row],[Done?]]="Pending"),0,"")))),"")</f>
        <v/>
      </c>
      <c r="G60" s="29"/>
    </row>
    <row r="61" spans="2:7" ht="30" customHeight="1" x14ac:dyDescent="0.3">
      <c r="B61" s="11">
        <f ca="1">Tasks[[#This Row],[Status Icon]]</f>
        <v>1</v>
      </c>
      <c r="C61" t="s">
        <v>52</v>
      </c>
      <c r="D61" s="12">
        <v>46111</v>
      </c>
      <c r="E61" s="13" t="s">
        <v>133</v>
      </c>
      <c r="F61" s="11">
        <f ca="1">IFERROR(IF(ISBLANK(Tasks[[#This Row],[Due Date]]),"",IF(Tasks[[#This Row],[Done?]]="Yes",1,IF(OR(Tasks[[#This Row],[Due Date]]&gt;PlanDueDate,Tasks[[#This Row],[Done?]]="No"),-1,IF(OR(OR(Tasks[[#This Row],[Due Date]]=TODAY(),Tasks[[#This Row],[Due Date]]=PlanDueDate),Tasks[[#This Row],[Done?]]="Pending"),0,"")))),"")</f>
        <v>1</v>
      </c>
      <c r="G61" s="27" t="s">
        <v>139</v>
      </c>
    </row>
    <row r="62" spans="2:7" ht="30" customHeight="1" x14ac:dyDescent="0.3">
      <c r="B62" s="11">
        <f ca="1">Tasks[[#This Row],[Status Icon]]</f>
        <v>1</v>
      </c>
      <c r="C62" t="s">
        <v>53</v>
      </c>
      <c r="D62" s="12">
        <v>46111</v>
      </c>
      <c r="E62" s="13" t="s">
        <v>133</v>
      </c>
      <c r="F62" s="11">
        <f ca="1">IFERROR(IF(ISBLANK(Tasks[[#This Row],[Due Date]]),"",IF(Tasks[[#This Row],[Done?]]="Yes",1,IF(OR(Tasks[[#This Row],[Due Date]]&gt;PlanDueDate,Tasks[[#This Row],[Done?]]="No"),-1,IF(OR(OR(Tasks[[#This Row],[Due Date]]=TODAY(),Tasks[[#This Row],[Due Date]]=PlanDueDate),Tasks[[#This Row],[Done?]]="Pending"),0,"")))),"")</f>
        <v>1</v>
      </c>
      <c r="G62" s="27" t="s">
        <v>138</v>
      </c>
    </row>
    <row r="63" spans="2:7" ht="30" customHeight="1" x14ac:dyDescent="0.3">
      <c r="B63" s="11">
        <f ca="1">Tasks[[#This Row],[Status Icon]]</f>
        <v>1</v>
      </c>
      <c r="C63" t="s">
        <v>54</v>
      </c>
      <c r="D63" s="12">
        <v>46111</v>
      </c>
      <c r="E63" s="13" t="s">
        <v>133</v>
      </c>
      <c r="F63" s="11">
        <f ca="1">IFERROR(IF(ISBLANK(Tasks[[#This Row],[Due Date]]),"",IF(Tasks[[#This Row],[Done?]]="Yes",1,IF(OR(Tasks[[#This Row],[Due Date]]&gt;PlanDueDate,Tasks[[#This Row],[Done?]]="No"),-1,IF(OR(OR(Tasks[[#This Row],[Due Date]]=TODAY(),Tasks[[#This Row],[Due Date]]=PlanDueDate),Tasks[[#This Row],[Done?]]="Pending"),0,"")))),"")</f>
        <v>1</v>
      </c>
      <c r="G63" s="27" t="s">
        <v>139</v>
      </c>
    </row>
    <row r="64" spans="2:7" ht="30" customHeight="1" x14ac:dyDescent="0.3">
      <c r="B64" s="11" t="str">
        <f ca="1">Tasks[[#This Row],[Status Icon]]</f>
        <v/>
      </c>
      <c r="C64" s="22" t="s">
        <v>93</v>
      </c>
      <c r="D64" s="23"/>
      <c r="E64" s="24"/>
      <c r="F64" s="25" t="str">
        <f ca="1">IFERROR(IF(ISBLANK(Tasks[[#This Row],[Due Date]]),"",IF(Tasks[[#This Row],[Done?]]="Yes",1,IF(OR(Tasks[[#This Row],[Due Date]]&gt;PlanDueDate,Tasks[[#This Row],[Done?]]="No"),-1,IF(OR(OR(Tasks[[#This Row],[Due Date]]=TODAY(),Tasks[[#This Row],[Due Date]]=PlanDueDate),Tasks[[#This Row],[Done?]]="Pending"),0,"")))),"")</f>
        <v/>
      </c>
      <c r="G64" s="29"/>
    </row>
    <row r="65" spans="2:7" ht="30" customHeight="1" x14ac:dyDescent="0.3">
      <c r="B65" s="11">
        <f ca="1">Tasks[[#This Row],[Status Icon]]</f>
        <v>1</v>
      </c>
      <c r="C65" t="s">
        <v>55</v>
      </c>
      <c r="D65" s="12">
        <v>46114</v>
      </c>
      <c r="E65" s="13" t="s">
        <v>133</v>
      </c>
      <c r="F65" s="11">
        <f ca="1">IFERROR(IF(ISBLANK(Tasks[[#This Row],[Due Date]]),"",IF(Tasks[[#This Row],[Done?]]="Yes",1,IF(OR(Tasks[[#This Row],[Due Date]]&gt;PlanDueDate,Tasks[[#This Row],[Done?]]="No"),-1,IF(OR(OR(Tasks[[#This Row],[Due Date]]=TODAY(),Tasks[[#This Row],[Due Date]]=PlanDueDate),Tasks[[#This Row],[Done?]]="Pending"),0,"")))),"")</f>
        <v>1</v>
      </c>
      <c r="G65" s="27" t="s">
        <v>136</v>
      </c>
    </row>
    <row r="66" spans="2:7" ht="30" customHeight="1" x14ac:dyDescent="0.3">
      <c r="B66" s="11">
        <f ca="1">Tasks[[#This Row],[Status Icon]]</f>
        <v>1</v>
      </c>
      <c r="C66" t="s">
        <v>56</v>
      </c>
      <c r="D66" s="12">
        <v>46114</v>
      </c>
      <c r="E66" s="13" t="s">
        <v>133</v>
      </c>
      <c r="F66" s="11">
        <f ca="1">IFERROR(IF(ISBLANK(Tasks[[#This Row],[Due Date]]),"",IF(Tasks[[#This Row],[Done?]]="Yes",1,IF(OR(Tasks[[#This Row],[Due Date]]&gt;PlanDueDate,Tasks[[#This Row],[Done?]]="No"),-1,IF(OR(OR(Tasks[[#This Row],[Due Date]]=TODAY(),Tasks[[#This Row],[Due Date]]=PlanDueDate),Tasks[[#This Row],[Done?]]="Pending"),0,"")))),"")</f>
        <v>1</v>
      </c>
      <c r="G66" s="27" t="s">
        <v>136</v>
      </c>
    </row>
    <row r="67" spans="2:7" ht="30" customHeight="1" x14ac:dyDescent="0.3">
      <c r="B67" s="11">
        <f ca="1">Tasks[[#This Row],[Status Icon]]</f>
        <v>1</v>
      </c>
      <c r="C67" t="s">
        <v>57</v>
      </c>
      <c r="D67" s="12">
        <v>46114</v>
      </c>
      <c r="E67" s="13" t="s">
        <v>133</v>
      </c>
      <c r="F67" s="11">
        <f ca="1">IFERROR(IF(ISBLANK(Tasks[[#This Row],[Due Date]]),"",IF(Tasks[[#This Row],[Done?]]="Yes",1,IF(OR(Tasks[[#This Row],[Due Date]]&gt;PlanDueDate,Tasks[[#This Row],[Done?]]="No"),-1,IF(OR(OR(Tasks[[#This Row],[Due Date]]=TODAY(),Tasks[[#This Row],[Due Date]]=PlanDueDate),Tasks[[#This Row],[Done?]]="Pending"),0,"")))),"")</f>
        <v>1</v>
      </c>
      <c r="G67" s="27" t="s">
        <v>138</v>
      </c>
    </row>
    <row r="68" spans="2:7" ht="30" customHeight="1" x14ac:dyDescent="0.3">
      <c r="B68" s="11">
        <f ca="1">Tasks[[#This Row],[Status Icon]]</f>
        <v>1</v>
      </c>
      <c r="C68" t="s">
        <v>146</v>
      </c>
      <c r="D68" s="12">
        <v>46114</v>
      </c>
      <c r="E68" s="13" t="s">
        <v>133</v>
      </c>
      <c r="F68" s="11">
        <f ca="1">IFERROR(IF(ISBLANK(Tasks[[#This Row],[Due Date]]),"",IF(Tasks[[#This Row],[Done?]]="Yes",1,IF(OR(Tasks[[#This Row],[Due Date]]&gt;PlanDueDate,Tasks[[#This Row],[Done?]]="No"),-1,IF(OR(OR(Tasks[[#This Row],[Due Date]]=TODAY(),Tasks[[#This Row],[Due Date]]=PlanDueDate),Tasks[[#This Row],[Done?]]="Pending"),0,"")))),"")</f>
        <v>1</v>
      </c>
      <c r="G68" s="27" t="s">
        <v>136</v>
      </c>
    </row>
    <row r="69" spans="2:7" ht="30" customHeight="1" x14ac:dyDescent="0.3">
      <c r="B69" s="11" t="str">
        <f ca="1">Tasks[[#This Row],[Status Icon]]</f>
        <v/>
      </c>
      <c r="C69" s="22" t="s">
        <v>95</v>
      </c>
      <c r="D69" s="23"/>
      <c r="E69" s="24"/>
      <c r="F69" s="25" t="str">
        <f ca="1">IFERROR(IF(ISBLANK(Tasks[[#This Row],[Due Date]]),"",IF(Tasks[[#This Row],[Done?]]="Yes",1,IF(OR(Tasks[[#This Row],[Due Date]]&gt;PlanDueDate,Tasks[[#This Row],[Done?]]="No"),-1,IF(OR(OR(Tasks[[#This Row],[Due Date]]=TODAY(),Tasks[[#This Row],[Due Date]]=PlanDueDate),Tasks[[#This Row],[Done?]]="Pending"),0,"")))),"")</f>
        <v/>
      </c>
      <c r="G69" s="29"/>
    </row>
    <row r="70" spans="2:7" ht="30" customHeight="1" x14ac:dyDescent="0.3">
      <c r="B70" s="11">
        <f ca="1">Tasks[[#This Row],[Status Icon]]</f>
        <v>1</v>
      </c>
      <c r="C70" t="s">
        <v>58</v>
      </c>
      <c r="D70" s="12">
        <v>46114</v>
      </c>
      <c r="E70" s="13" t="s">
        <v>133</v>
      </c>
      <c r="F70" s="11">
        <f ca="1">IFERROR(IF(ISBLANK(Tasks[[#This Row],[Due Date]]),"",IF(Tasks[[#This Row],[Done?]]="Yes",1,IF(OR(Tasks[[#This Row],[Due Date]]&gt;PlanDueDate,Tasks[[#This Row],[Done?]]="No"),-1,IF(OR(OR(Tasks[[#This Row],[Due Date]]=TODAY(),Tasks[[#This Row],[Due Date]]=PlanDueDate),Tasks[[#This Row],[Done?]]="Pending"),0,"")))),"")</f>
        <v>1</v>
      </c>
      <c r="G70" s="27" t="s">
        <v>136</v>
      </c>
    </row>
    <row r="71" spans="2:7" ht="30" customHeight="1" x14ac:dyDescent="0.3">
      <c r="B71" s="11">
        <f ca="1">Tasks[[#This Row],[Status Icon]]</f>
        <v>1</v>
      </c>
      <c r="C71" t="s">
        <v>59</v>
      </c>
      <c r="D71" s="12">
        <v>46114</v>
      </c>
      <c r="E71" s="13" t="s">
        <v>133</v>
      </c>
      <c r="F71" s="11">
        <f ca="1">IFERROR(IF(ISBLANK(Tasks[[#This Row],[Due Date]]),"",IF(Tasks[[#This Row],[Done?]]="Yes",1,IF(OR(Tasks[[#This Row],[Due Date]]&gt;PlanDueDate,Tasks[[#This Row],[Done?]]="No"),-1,IF(OR(OR(Tasks[[#This Row],[Due Date]]=TODAY(),Tasks[[#This Row],[Due Date]]=PlanDueDate),Tasks[[#This Row],[Done?]]="Pending"),0,"")))),"")</f>
        <v>1</v>
      </c>
      <c r="G71" s="27" t="s">
        <v>138</v>
      </c>
    </row>
    <row r="72" spans="2:7" ht="30" customHeight="1" x14ac:dyDescent="0.3">
      <c r="B72" s="11">
        <f ca="1">Tasks[[#This Row],[Status Icon]]</f>
        <v>1</v>
      </c>
      <c r="C72" t="s">
        <v>60</v>
      </c>
      <c r="D72" s="12">
        <v>46114</v>
      </c>
      <c r="E72" s="13" t="s">
        <v>133</v>
      </c>
      <c r="F72" s="11">
        <f ca="1">IFERROR(IF(ISBLANK(Tasks[[#This Row],[Due Date]]),"",IF(Tasks[[#This Row],[Done?]]="Yes",1,IF(OR(Tasks[[#This Row],[Due Date]]&gt;PlanDueDate,Tasks[[#This Row],[Done?]]="No"),-1,IF(OR(OR(Tasks[[#This Row],[Due Date]]=TODAY(),Tasks[[#This Row],[Due Date]]=PlanDueDate),Tasks[[#This Row],[Done?]]="Pending"),0,"")))),"")</f>
        <v>1</v>
      </c>
      <c r="G72" s="27" t="s">
        <v>138</v>
      </c>
    </row>
    <row r="73" spans="2:7" ht="30" customHeight="1" x14ac:dyDescent="0.3">
      <c r="B73" s="11">
        <f ca="1">Tasks[[#This Row],[Status Icon]]</f>
        <v>1</v>
      </c>
      <c r="C73" t="s">
        <v>61</v>
      </c>
      <c r="D73" s="12">
        <v>46114</v>
      </c>
      <c r="E73" s="13" t="s">
        <v>133</v>
      </c>
      <c r="F73" s="11">
        <f ca="1">IFERROR(IF(ISBLANK(Tasks[[#This Row],[Due Date]]),"",IF(Tasks[[#This Row],[Done?]]="Yes",1,IF(OR(Tasks[[#This Row],[Due Date]]&gt;PlanDueDate,Tasks[[#This Row],[Done?]]="No"),-1,IF(OR(OR(Tasks[[#This Row],[Due Date]]=TODAY(),Tasks[[#This Row],[Due Date]]=PlanDueDate),Tasks[[#This Row],[Done?]]="Pending"),0,"")))),"")</f>
        <v>1</v>
      </c>
      <c r="G73" s="27" t="s">
        <v>138</v>
      </c>
    </row>
    <row r="74" spans="2:7" ht="30" customHeight="1" x14ac:dyDescent="0.3">
      <c r="B74" s="11">
        <f ca="1">Tasks[[#This Row],[Status Icon]]</f>
        <v>1</v>
      </c>
      <c r="C74" t="s">
        <v>62</v>
      </c>
      <c r="D74" s="12">
        <v>46114</v>
      </c>
      <c r="E74" s="13" t="s">
        <v>133</v>
      </c>
      <c r="F74" s="11">
        <f ca="1">IFERROR(IF(ISBLANK(Tasks[[#This Row],[Due Date]]),"",IF(Tasks[[#This Row],[Done?]]="Yes",1,IF(OR(Tasks[[#This Row],[Due Date]]&gt;PlanDueDate,Tasks[[#This Row],[Done?]]="No"),-1,IF(OR(OR(Tasks[[#This Row],[Due Date]]=TODAY(),Tasks[[#This Row],[Due Date]]=PlanDueDate),Tasks[[#This Row],[Done?]]="Pending"),0,"")))),"")</f>
        <v>1</v>
      </c>
      <c r="G74" s="27" t="s">
        <v>136</v>
      </c>
    </row>
    <row r="75" spans="2:7" ht="30" customHeight="1" x14ac:dyDescent="0.3">
      <c r="B75" s="11" t="str">
        <f ca="1">Tasks[[#This Row],[Status Icon]]</f>
        <v/>
      </c>
      <c r="C75" s="22" t="s">
        <v>96</v>
      </c>
      <c r="D75" s="23"/>
      <c r="E75" s="24"/>
      <c r="F75" s="25" t="str">
        <f ca="1">IFERROR(IF(ISBLANK(Tasks[[#This Row],[Due Date]]),"",IF(Tasks[[#This Row],[Done?]]="Yes",1,IF(OR(Tasks[[#This Row],[Due Date]]&gt;PlanDueDate,Tasks[[#This Row],[Done?]]="No"),-1,IF(OR(OR(Tasks[[#This Row],[Due Date]]=TODAY(),Tasks[[#This Row],[Due Date]]=PlanDueDate),Tasks[[#This Row],[Done?]]="Pending"),0,"")))),"")</f>
        <v/>
      </c>
      <c r="G75" s="29"/>
    </row>
    <row r="76" spans="2:7" ht="30" customHeight="1" x14ac:dyDescent="0.3">
      <c r="B76" s="11">
        <f ca="1">Tasks[[#This Row],[Status Icon]]</f>
        <v>1</v>
      </c>
      <c r="C76" t="s">
        <v>63</v>
      </c>
      <c r="D76" s="12">
        <v>46116</v>
      </c>
      <c r="E76" s="13" t="s">
        <v>133</v>
      </c>
      <c r="F76" s="11">
        <f ca="1">IFERROR(IF(ISBLANK(Tasks[[#This Row],[Due Date]]),"",IF(Tasks[[#This Row],[Done?]]="Yes",1,IF(OR(Tasks[[#This Row],[Due Date]]&gt;PlanDueDate,Tasks[[#This Row],[Done?]]="No"),-1,IF(OR(OR(Tasks[[#This Row],[Due Date]]=TODAY(),Tasks[[#This Row],[Due Date]]=PlanDueDate),Tasks[[#This Row],[Done?]]="Pending"),0,"")))),"")</f>
        <v>1</v>
      </c>
      <c r="G76" s="27" t="s">
        <v>136</v>
      </c>
    </row>
    <row r="77" spans="2:7" ht="30" customHeight="1" x14ac:dyDescent="0.3">
      <c r="B77" s="11">
        <f ca="1">Tasks[[#This Row],[Status Icon]]</f>
        <v>1</v>
      </c>
      <c r="C77" t="s">
        <v>64</v>
      </c>
      <c r="D77" s="12">
        <v>46116</v>
      </c>
      <c r="E77" s="13" t="s">
        <v>133</v>
      </c>
      <c r="F77" s="11">
        <f ca="1">IFERROR(IF(ISBLANK(Tasks[[#This Row],[Due Date]]),"",IF(Tasks[[#This Row],[Done?]]="Yes",1,IF(OR(Tasks[[#This Row],[Due Date]]&gt;PlanDueDate,Tasks[[#This Row],[Done?]]="No"),-1,IF(OR(OR(Tasks[[#This Row],[Due Date]]=TODAY(),Tasks[[#This Row],[Due Date]]=PlanDueDate),Tasks[[#This Row],[Done?]]="Pending"),0,"")))),"")</f>
        <v>1</v>
      </c>
      <c r="G77" s="27" t="s">
        <v>136</v>
      </c>
    </row>
    <row r="78" spans="2:7" ht="30" customHeight="1" x14ac:dyDescent="0.3">
      <c r="B78" s="11">
        <f ca="1">Tasks[[#This Row],[Status Icon]]</f>
        <v>1</v>
      </c>
      <c r="C78" t="s">
        <v>65</v>
      </c>
      <c r="D78" s="12">
        <v>46116</v>
      </c>
      <c r="E78" s="13" t="s">
        <v>133</v>
      </c>
      <c r="F78" s="11">
        <f ca="1">IFERROR(IF(ISBLANK(Tasks[[#This Row],[Due Date]]),"",IF(Tasks[[#This Row],[Done?]]="Yes",1,IF(OR(Tasks[[#This Row],[Due Date]]&gt;PlanDueDate,Tasks[[#This Row],[Done?]]="No"),-1,IF(OR(OR(Tasks[[#This Row],[Due Date]]=TODAY(),Tasks[[#This Row],[Due Date]]=PlanDueDate),Tasks[[#This Row],[Done?]]="Pending"),0,"")))),"")</f>
        <v>1</v>
      </c>
      <c r="G78" s="27" t="s">
        <v>138</v>
      </c>
    </row>
    <row r="79" spans="2:7" ht="30" customHeight="1" x14ac:dyDescent="0.3">
      <c r="B79" s="11">
        <f ca="1">Tasks[[#This Row],[Status Icon]]</f>
        <v>1</v>
      </c>
      <c r="C79" t="s">
        <v>66</v>
      </c>
      <c r="D79" s="12">
        <v>46116</v>
      </c>
      <c r="E79" s="13" t="s">
        <v>133</v>
      </c>
      <c r="F79" s="11">
        <f ca="1">IFERROR(IF(ISBLANK(Tasks[[#This Row],[Due Date]]),"",IF(Tasks[[#This Row],[Done?]]="Yes",1,IF(OR(Tasks[[#This Row],[Due Date]]&gt;PlanDueDate,Tasks[[#This Row],[Done?]]="No"),-1,IF(OR(OR(Tasks[[#This Row],[Due Date]]=TODAY(),Tasks[[#This Row],[Due Date]]=PlanDueDate),Tasks[[#This Row],[Done?]]="Pending"),0,"")))),"")</f>
        <v>1</v>
      </c>
      <c r="G79" s="27" t="s">
        <v>136</v>
      </c>
    </row>
    <row r="80" spans="2:7" ht="30" customHeight="1" x14ac:dyDescent="0.3">
      <c r="B80" s="11" t="str">
        <f ca="1">Tasks[[#This Row],[Status Icon]]</f>
        <v/>
      </c>
      <c r="C80" s="22" t="s">
        <v>97</v>
      </c>
      <c r="D80" s="23"/>
      <c r="E80" s="24"/>
      <c r="F80" s="25" t="str">
        <f ca="1">IFERROR(IF(ISBLANK(Tasks[[#This Row],[Due Date]]),"",IF(Tasks[[#This Row],[Done?]]="Yes",1,IF(OR(Tasks[[#This Row],[Due Date]]&gt;PlanDueDate,Tasks[[#This Row],[Done?]]="No"),-1,IF(OR(OR(Tasks[[#This Row],[Due Date]]=TODAY(),Tasks[[#This Row],[Due Date]]=PlanDueDate),Tasks[[#This Row],[Done?]]="Pending"),0,"")))),"")</f>
        <v/>
      </c>
      <c r="G80" s="29"/>
    </row>
    <row r="81" spans="2:7" ht="30" customHeight="1" x14ac:dyDescent="0.3">
      <c r="B81" s="11">
        <f ca="1">Tasks[[#This Row],[Status Icon]]</f>
        <v>1</v>
      </c>
      <c r="C81" t="s">
        <v>67</v>
      </c>
      <c r="D81" s="12">
        <v>46116</v>
      </c>
      <c r="E81" s="13" t="s">
        <v>133</v>
      </c>
      <c r="F81" s="11">
        <f ca="1">IFERROR(IF(ISBLANK(Tasks[[#This Row],[Due Date]]),"",IF(Tasks[[#This Row],[Done?]]="Yes",1,IF(OR(Tasks[[#This Row],[Due Date]]&gt;PlanDueDate,Tasks[[#This Row],[Done?]]="No"),-1,IF(OR(OR(Tasks[[#This Row],[Due Date]]=TODAY(),Tasks[[#This Row],[Due Date]]=PlanDueDate),Tasks[[#This Row],[Done?]]="Pending"),0,"")))),"")</f>
        <v>1</v>
      </c>
      <c r="G81" s="27" t="s">
        <v>136</v>
      </c>
    </row>
    <row r="82" spans="2:7" ht="30" customHeight="1" x14ac:dyDescent="0.3">
      <c r="B82" s="11">
        <f ca="1">Tasks[[#This Row],[Status Icon]]</f>
        <v>1</v>
      </c>
      <c r="C82" t="s">
        <v>68</v>
      </c>
      <c r="D82" s="12">
        <v>46116</v>
      </c>
      <c r="E82" s="13" t="s">
        <v>133</v>
      </c>
      <c r="F82" s="11">
        <f ca="1">IFERROR(IF(ISBLANK(Tasks[[#This Row],[Due Date]]),"",IF(Tasks[[#This Row],[Done?]]="Yes",1,IF(OR(Tasks[[#This Row],[Due Date]]&gt;PlanDueDate,Tasks[[#This Row],[Done?]]="No"),-1,IF(OR(OR(Tasks[[#This Row],[Due Date]]=TODAY(),Tasks[[#This Row],[Due Date]]=PlanDueDate),Tasks[[#This Row],[Done?]]="Pending"),0,"")))),"")</f>
        <v>1</v>
      </c>
      <c r="G82" s="27" t="s">
        <v>138</v>
      </c>
    </row>
    <row r="83" spans="2:7" ht="30" customHeight="1" x14ac:dyDescent="0.3">
      <c r="B83" s="11">
        <f ca="1">Tasks[[#This Row],[Status Icon]]</f>
        <v>1</v>
      </c>
      <c r="C83" t="s">
        <v>69</v>
      </c>
      <c r="D83" s="12">
        <v>46116</v>
      </c>
      <c r="E83" s="13" t="s">
        <v>133</v>
      </c>
      <c r="F83" s="11">
        <f ca="1">IFERROR(IF(ISBLANK(Tasks[[#This Row],[Due Date]]),"",IF(Tasks[[#This Row],[Done?]]="Yes",1,IF(OR(Tasks[[#This Row],[Due Date]]&gt;PlanDueDate,Tasks[[#This Row],[Done?]]="No"),-1,IF(OR(OR(Tasks[[#This Row],[Due Date]]=TODAY(),Tasks[[#This Row],[Due Date]]=PlanDueDate),Tasks[[#This Row],[Done?]]="Pending"),0,"")))),"")</f>
        <v>1</v>
      </c>
      <c r="G83" s="27" t="s">
        <v>139</v>
      </c>
    </row>
    <row r="84" spans="2:7" ht="30" customHeight="1" x14ac:dyDescent="0.3">
      <c r="B84" s="11">
        <f ca="1">Tasks[[#This Row],[Status Icon]]</f>
        <v>1</v>
      </c>
      <c r="C84" t="s">
        <v>70</v>
      </c>
      <c r="D84" s="12">
        <v>46116</v>
      </c>
      <c r="E84" s="13" t="s">
        <v>133</v>
      </c>
      <c r="F84" s="11">
        <f ca="1">IFERROR(IF(ISBLANK(Tasks[[#This Row],[Due Date]]),"",IF(Tasks[[#This Row],[Done?]]="Yes",1,IF(OR(Tasks[[#This Row],[Due Date]]&gt;PlanDueDate,Tasks[[#This Row],[Done?]]="No"),-1,IF(OR(OR(Tasks[[#This Row],[Due Date]]=TODAY(),Tasks[[#This Row],[Due Date]]=PlanDueDate),Tasks[[#This Row],[Done?]]="Pending"),0,"")))),"")</f>
        <v>1</v>
      </c>
      <c r="G84" s="27" t="s">
        <v>136</v>
      </c>
    </row>
    <row r="85" spans="2:7" ht="30" customHeight="1" x14ac:dyDescent="0.3">
      <c r="B85" s="11" t="str">
        <f ca="1">Tasks[[#This Row],[Status Icon]]</f>
        <v/>
      </c>
      <c r="C85" s="22" t="s">
        <v>71</v>
      </c>
      <c r="D85" s="23"/>
      <c r="E85" s="24"/>
      <c r="F85" s="25" t="str">
        <f ca="1">IFERROR(IF(ISBLANK(Tasks[[#This Row],[Due Date]]),"",IF(Tasks[[#This Row],[Done?]]="Yes",1,IF(OR(Tasks[[#This Row],[Due Date]]&gt;PlanDueDate,Tasks[[#This Row],[Done?]]="No"),-1,IF(OR(OR(Tasks[[#This Row],[Due Date]]=TODAY(),Tasks[[#This Row],[Due Date]]=PlanDueDate),Tasks[[#This Row],[Done?]]="Pending"),0,"")))),"")</f>
        <v/>
      </c>
      <c r="G85" s="29"/>
    </row>
    <row r="86" spans="2:7" ht="30" customHeight="1" x14ac:dyDescent="0.3">
      <c r="B86" s="11">
        <f ca="1">Tasks[[#This Row],[Status Icon]]</f>
        <v>1</v>
      </c>
      <c r="C86" t="s">
        <v>72</v>
      </c>
      <c r="D86" s="12">
        <v>46117</v>
      </c>
      <c r="E86" s="13" t="s">
        <v>133</v>
      </c>
      <c r="F86" s="11">
        <f ca="1">IFERROR(IF(ISBLANK(Tasks[[#This Row],[Due Date]]),"",IF(Tasks[[#This Row],[Done?]]="Yes",1,IF(OR(Tasks[[#This Row],[Due Date]]&gt;PlanDueDate,Tasks[[#This Row],[Done?]]="No"),-1,IF(OR(OR(Tasks[[#This Row],[Due Date]]=TODAY(),Tasks[[#This Row],[Due Date]]=PlanDueDate),Tasks[[#This Row],[Done?]]="Pending"),0,"")))),"")</f>
        <v>1</v>
      </c>
      <c r="G86" s="27" t="s">
        <v>136</v>
      </c>
    </row>
    <row r="87" spans="2:7" ht="30" customHeight="1" x14ac:dyDescent="0.3">
      <c r="B87" s="11">
        <f ca="1">Tasks[[#This Row],[Status Icon]]</f>
        <v>1</v>
      </c>
      <c r="C87" t="s">
        <v>73</v>
      </c>
      <c r="D87" s="12">
        <v>46119</v>
      </c>
      <c r="E87" s="13" t="s">
        <v>133</v>
      </c>
      <c r="F87" s="11">
        <f ca="1">IFERROR(IF(ISBLANK(Tasks[[#This Row],[Due Date]]),"",IF(Tasks[[#This Row],[Done?]]="Yes",1,IF(OR(Tasks[[#This Row],[Due Date]]&gt;PlanDueDate,Tasks[[#This Row],[Done?]]="No"),-1,IF(OR(OR(Tasks[[#This Row],[Due Date]]=TODAY(),Tasks[[#This Row],[Due Date]]=PlanDueDate),Tasks[[#This Row],[Done?]]="Pending"),0,"")))),"")</f>
        <v>1</v>
      </c>
      <c r="G87" s="27" t="s">
        <v>136</v>
      </c>
    </row>
    <row r="88" spans="2:7" ht="30" customHeight="1" x14ac:dyDescent="0.3">
      <c r="B88" s="11">
        <f ca="1">Tasks[[#This Row],[Status Icon]]</f>
        <v>1</v>
      </c>
      <c r="C88" t="s">
        <v>74</v>
      </c>
      <c r="D88" s="12">
        <v>46119</v>
      </c>
      <c r="E88" s="13" t="s">
        <v>133</v>
      </c>
      <c r="F88" s="11">
        <f ca="1">IFERROR(IF(ISBLANK(Tasks[[#This Row],[Due Date]]),"",IF(Tasks[[#This Row],[Done?]]="Yes",1,IF(OR(Tasks[[#This Row],[Due Date]]&gt;PlanDueDate,Tasks[[#This Row],[Done?]]="No"),-1,IF(OR(OR(Tasks[[#This Row],[Due Date]]=TODAY(),Tasks[[#This Row],[Due Date]]=PlanDueDate),Tasks[[#This Row],[Done?]]="Pending"),0,"")))),"")</f>
        <v>1</v>
      </c>
      <c r="G88" s="27" t="s">
        <v>136</v>
      </c>
    </row>
    <row r="89" spans="2:7" ht="30" customHeight="1" x14ac:dyDescent="0.3">
      <c r="B89" s="11">
        <f ca="1">Tasks[[#This Row],[Status Icon]]</f>
        <v>1</v>
      </c>
      <c r="C89" t="s">
        <v>75</v>
      </c>
      <c r="D89" s="12">
        <v>46119</v>
      </c>
      <c r="E89" s="13" t="s">
        <v>133</v>
      </c>
      <c r="F89" s="11">
        <f ca="1">IFERROR(IF(ISBLANK(Tasks[[#This Row],[Due Date]]),"",IF(Tasks[[#This Row],[Done?]]="Yes",1,IF(OR(Tasks[[#This Row],[Due Date]]&gt;PlanDueDate,Tasks[[#This Row],[Done?]]="No"),-1,IF(OR(OR(Tasks[[#This Row],[Due Date]]=TODAY(),Tasks[[#This Row],[Due Date]]=PlanDueDate),Tasks[[#This Row],[Done?]]="Pending"),0,"")))),"")</f>
        <v>1</v>
      </c>
      <c r="G89" s="27" t="s">
        <v>136</v>
      </c>
    </row>
    <row r="90" spans="2:7" ht="30" customHeight="1" x14ac:dyDescent="0.3">
      <c r="B90" s="11">
        <f ca="1">Tasks[[#This Row],[Status Icon]]</f>
        <v>1</v>
      </c>
      <c r="C90" t="s">
        <v>76</v>
      </c>
      <c r="D90" s="12">
        <v>46120</v>
      </c>
      <c r="E90" s="13" t="s">
        <v>133</v>
      </c>
      <c r="F90" s="11">
        <f ca="1">IFERROR(IF(ISBLANK(Tasks[[#This Row],[Due Date]]),"",IF(Tasks[[#This Row],[Done?]]="Yes",1,IF(OR(Tasks[[#This Row],[Due Date]]&gt;PlanDueDate,Tasks[[#This Row],[Done?]]="No"),-1,IF(OR(OR(Tasks[[#This Row],[Due Date]]=TODAY(),Tasks[[#This Row],[Due Date]]=PlanDueDate),Tasks[[#This Row],[Done?]]="Pending"),0,"")))),"")</f>
        <v>1</v>
      </c>
      <c r="G90" s="27" t="s">
        <v>136</v>
      </c>
    </row>
    <row r="91" spans="2:7" ht="30" customHeight="1" x14ac:dyDescent="0.3">
      <c r="B91" s="11">
        <f ca="1">Tasks[[#This Row],[Status Icon]]</f>
        <v>1</v>
      </c>
      <c r="C91" t="s">
        <v>77</v>
      </c>
      <c r="D91" s="12">
        <v>46120</v>
      </c>
      <c r="E91" s="13" t="s">
        <v>133</v>
      </c>
      <c r="F91" s="11">
        <f ca="1">IFERROR(IF(ISBLANK(Tasks[[#This Row],[Due Date]]),"",IF(Tasks[[#This Row],[Done?]]="Yes",1,IF(OR(Tasks[[#This Row],[Due Date]]&gt;PlanDueDate,Tasks[[#This Row],[Done?]]="No"),-1,IF(OR(OR(Tasks[[#This Row],[Due Date]]=TODAY(),Tasks[[#This Row],[Due Date]]=PlanDueDate),Tasks[[#This Row],[Done?]]="Pending"),0,"")))),"")</f>
        <v>1</v>
      </c>
      <c r="G91" s="27" t="s">
        <v>136</v>
      </c>
    </row>
    <row r="92" spans="2:7" ht="30" customHeight="1" x14ac:dyDescent="0.3">
      <c r="B92" s="11" t="str">
        <f ca="1">Tasks[[#This Row],[Status Icon]]</f>
        <v/>
      </c>
      <c r="C92" s="22" t="s">
        <v>78</v>
      </c>
      <c r="D92" s="23"/>
      <c r="E92" s="24"/>
      <c r="F92" s="25" t="str">
        <f ca="1">IFERROR(IF(ISBLANK(Tasks[[#This Row],[Due Date]]),"",IF(Tasks[[#This Row],[Done?]]="Yes",1,IF(OR(Tasks[[#This Row],[Due Date]]&gt;PlanDueDate,Tasks[[#This Row],[Done?]]="No"),-1,IF(OR(OR(Tasks[[#This Row],[Due Date]]=TODAY(),Tasks[[#This Row],[Due Date]]=PlanDueDate),Tasks[[#This Row],[Done?]]="Pending"),0,"")))),"")</f>
        <v/>
      </c>
      <c r="G92" s="29"/>
    </row>
    <row r="93" spans="2:7" ht="30" customHeight="1" x14ac:dyDescent="0.3">
      <c r="B93" s="11">
        <f ca="1">Tasks[[#This Row],[Status Icon]]</f>
        <v>1</v>
      </c>
      <c r="C93" t="s">
        <v>79</v>
      </c>
      <c r="D93" s="12">
        <v>46123</v>
      </c>
      <c r="E93" s="13" t="s">
        <v>133</v>
      </c>
      <c r="F93" s="11">
        <f ca="1">IFERROR(IF(ISBLANK(Tasks[[#This Row],[Due Date]]),"",IF(Tasks[[#This Row],[Done?]]="Yes",1,IF(OR(Tasks[[#This Row],[Due Date]]&gt;PlanDueDate,Tasks[[#This Row],[Done?]]="No"),-1,IF(OR(OR(Tasks[[#This Row],[Due Date]]=TODAY(),Tasks[[#This Row],[Due Date]]=PlanDueDate),Tasks[[#This Row],[Done?]]="Pending"),0,"")))),"")</f>
        <v>1</v>
      </c>
      <c r="G93" s="27" t="s">
        <v>136</v>
      </c>
    </row>
    <row r="94" spans="2:7" ht="30" customHeight="1" x14ac:dyDescent="0.3">
      <c r="B94" s="11">
        <f ca="1">Tasks[[#This Row],[Status Icon]]</f>
        <v>1</v>
      </c>
      <c r="C94" t="s">
        <v>80</v>
      </c>
      <c r="D94" s="12">
        <v>46123</v>
      </c>
      <c r="E94" s="13" t="s">
        <v>133</v>
      </c>
      <c r="F94" s="11">
        <f ca="1">IFERROR(IF(ISBLANK(Tasks[[#This Row],[Due Date]]),"",IF(Tasks[[#This Row],[Done?]]="Yes",1,IF(OR(Tasks[[#This Row],[Due Date]]&gt;PlanDueDate,Tasks[[#This Row],[Done?]]="No"),-1,IF(OR(OR(Tasks[[#This Row],[Due Date]]=TODAY(),Tasks[[#This Row],[Due Date]]=PlanDueDate),Tasks[[#This Row],[Done?]]="Pending"),0,"")))),"")</f>
        <v>1</v>
      </c>
      <c r="G94" s="27" t="s">
        <v>136</v>
      </c>
    </row>
    <row r="95" spans="2:7" ht="30" customHeight="1" x14ac:dyDescent="0.3">
      <c r="B95" s="11">
        <f ca="1">Tasks[[#This Row],[Status Icon]]</f>
        <v>1</v>
      </c>
      <c r="C95" t="s">
        <v>81</v>
      </c>
      <c r="D95" s="12">
        <v>46123</v>
      </c>
      <c r="E95" s="13" t="s">
        <v>133</v>
      </c>
      <c r="F95" s="11">
        <f ca="1">IFERROR(IF(ISBLANK(Tasks[[#This Row],[Due Date]]),"",IF(Tasks[[#This Row],[Done?]]="Yes",1,IF(OR(Tasks[[#This Row],[Due Date]]&gt;PlanDueDate,Tasks[[#This Row],[Done?]]="No"),-1,IF(OR(OR(Tasks[[#This Row],[Due Date]]=TODAY(),Tasks[[#This Row],[Due Date]]=PlanDueDate),Tasks[[#This Row],[Done?]]="Pending"),0,"")))),"")</f>
        <v>1</v>
      </c>
      <c r="G95" s="27" t="s">
        <v>136</v>
      </c>
    </row>
    <row r="96" spans="2:7" ht="30" customHeight="1" x14ac:dyDescent="0.3">
      <c r="B96" s="11">
        <f ca="1">Tasks[[#This Row],[Status Icon]]</f>
        <v>1</v>
      </c>
      <c r="C96" t="s">
        <v>82</v>
      </c>
      <c r="D96" s="12">
        <v>46123</v>
      </c>
      <c r="E96" s="13" t="s">
        <v>133</v>
      </c>
      <c r="F96" s="11">
        <f ca="1">IFERROR(IF(ISBLANK(Tasks[[#This Row],[Due Date]]),"",IF(Tasks[[#This Row],[Done?]]="Yes",1,IF(OR(Tasks[[#This Row],[Due Date]]&gt;PlanDueDate,Tasks[[#This Row],[Done?]]="No"),-1,IF(OR(OR(Tasks[[#This Row],[Due Date]]=TODAY(),Tasks[[#This Row],[Due Date]]=PlanDueDate),Tasks[[#This Row],[Done?]]="Pending"),0,"")))),"")</f>
        <v>1</v>
      </c>
      <c r="G96" s="27" t="s">
        <v>136</v>
      </c>
    </row>
    <row r="97" spans="2:7" ht="30" customHeight="1" x14ac:dyDescent="0.3">
      <c r="B97" s="11" t="str">
        <f ca="1">Tasks[[#This Row],[Status Icon]]</f>
        <v/>
      </c>
      <c r="C97" s="22" t="s">
        <v>98</v>
      </c>
      <c r="D97" s="23"/>
      <c r="E97" s="24"/>
      <c r="F97" s="25" t="str">
        <f ca="1">IFERROR(IF(ISBLANK(Tasks[[#This Row],[Due Date]]),"",IF(Tasks[[#This Row],[Done?]]="Yes",1,IF(OR(Tasks[[#This Row],[Due Date]]&gt;PlanDueDate,Tasks[[#This Row],[Done?]]="No"),-1,IF(OR(OR(Tasks[[#This Row],[Due Date]]=TODAY(),Tasks[[#This Row],[Due Date]]=PlanDueDate),Tasks[[#This Row],[Done?]]="Pending"),0,"")))),"")</f>
        <v/>
      </c>
      <c r="G97" s="29"/>
    </row>
    <row r="98" spans="2:7" ht="30" customHeight="1" x14ac:dyDescent="0.3">
      <c r="B98" s="11">
        <f ca="1">Tasks[[#This Row],[Status Icon]]</f>
        <v>1</v>
      </c>
      <c r="C98" t="s">
        <v>99</v>
      </c>
      <c r="D98" s="12">
        <v>46123</v>
      </c>
      <c r="E98" s="13" t="s">
        <v>133</v>
      </c>
      <c r="F98" s="11">
        <f ca="1">IFERROR(IF(ISBLANK(Tasks[[#This Row],[Due Date]]),"",IF(Tasks[[#This Row],[Done?]]="Yes",1,IF(OR(Tasks[[#This Row],[Due Date]]&gt;PlanDueDate,Tasks[[#This Row],[Done?]]="No"),-1,IF(OR(OR(Tasks[[#This Row],[Due Date]]=TODAY(),Tasks[[#This Row],[Due Date]]=PlanDueDate),Tasks[[#This Row],[Done?]]="Pending"),0,"")))),"")</f>
        <v>1</v>
      </c>
      <c r="G98" s="27" t="s">
        <v>136</v>
      </c>
    </row>
    <row r="99" spans="2:7" ht="30" customHeight="1" x14ac:dyDescent="0.3">
      <c r="B99" s="11">
        <f ca="1">Tasks[[#This Row],[Status Icon]]</f>
        <v>1</v>
      </c>
      <c r="C99" t="s">
        <v>100</v>
      </c>
      <c r="D99" s="12">
        <v>46125</v>
      </c>
      <c r="E99" s="13" t="s">
        <v>133</v>
      </c>
      <c r="F99" s="11">
        <f ca="1">IFERROR(IF(ISBLANK(Tasks[[#This Row],[Due Date]]),"",IF(Tasks[[#This Row],[Done?]]="Yes",1,IF(OR(Tasks[[#This Row],[Due Date]]&gt;PlanDueDate,Tasks[[#This Row],[Done?]]="No"),-1,IF(OR(OR(Tasks[[#This Row],[Due Date]]=TODAY(),Tasks[[#This Row],[Due Date]]=PlanDueDate),Tasks[[#This Row],[Done?]]="Pending"),0,"")))),"")</f>
        <v>1</v>
      </c>
      <c r="G99" s="27" t="s">
        <v>136</v>
      </c>
    </row>
    <row r="100" spans="2:7" ht="30" customHeight="1" x14ac:dyDescent="0.3">
      <c r="B100" s="11">
        <f ca="1">Tasks[[#This Row],[Status Icon]]</f>
        <v>1</v>
      </c>
      <c r="C100" t="s">
        <v>101</v>
      </c>
      <c r="D100" s="12">
        <v>46125</v>
      </c>
      <c r="E100" s="13" t="s">
        <v>133</v>
      </c>
      <c r="F100" s="11">
        <f ca="1">IFERROR(IF(ISBLANK(Tasks[[#This Row],[Due Date]]),"",IF(Tasks[[#This Row],[Done?]]="Yes",1,IF(OR(Tasks[[#This Row],[Due Date]]&gt;PlanDueDate,Tasks[[#This Row],[Done?]]="No"),-1,IF(OR(OR(Tasks[[#This Row],[Due Date]]=TODAY(),Tasks[[#This Row],[Due Date]]=PlanDueDate),Tasks[[#This Row],[Done?]]="Pending"),0,"")))),"")</f>
        <v>1</v>
      </c>
      <c r="G100" s="27" t="s">
        <v>136</v>
      </c>
    </row>
    <row r="101" spans="2:7" ht="30" customHeight="1" x14ac:dyDescent="0.3">
      <c r="B101" s="11">
        <f ca="1">Tasks[[#This Row],[Status Icon]]</f>
        <v>1</v>
      </c>
      <c r="C101" t="s">
        <v>102</v>
      </c>
      <c r="D101" s="12">
        <v>46125</v>
      </c>
      <c r="E101" s="13" t="s">
        <v>133</v>
      </c>
      <c r="F101" s="11">
        <f ca="1">IFERROR(IF(ISBLANK(Tasks[[#This Row],[Due Date]]),"",IF(Tasks[[#This Row],[Done?]]="Yes",1,IF(OR(Tasks[[#This Row],[Due Date]]&gt;PlanDueDate,Tasks[[#This Row],[Done?]]="No"),-1,IF(OR(OR(Tasks[[#This Row],[Due Date]]=TODAY(),Tasks[[#This Row],[Due Date]]=PlanDueDate),Tasks[[#This Row],[Done?]]="Pending"),0,"")))),"")</f>
        <v>1</v>
      </c>
      <c r="G101" s="27" t="s">
        <v>136</v>
      </c>
    </row>
    <row r="102" spans="2:7" ht="30" customHeight="1" x14ac:dyDescent="0.3">
      <c r="B102" s="11" t="str">
        <f ca="1">Tasks[[#This Row],[Status Icon]]</f>
        <v/>
      </c>
      <c r="C102" s="22" t="s">
        <v>103</v>
      </c>
      <c r="D102" s="23"/>
      <c r="E102" s="24"/>
      <c r="F102" s="25" t="str">
        <f ca="1">IFERROR(IF(ISBLANK(Tasks[[#This Row],[Due Date]]),"",IF(Tasks[[#This Row],[Done?]]="Yes",1,IF(OR(Tasks[[#This Row],[Due Date]]&gt;PlanDueDate,Tasks[[#This Row],[Done?]]="No"),-1,IF(OR(OR(Tasks[[#This Row],[Due Date]]=TODAY(),Tasks[[#This Row],[Due Date]]=PlanDueDate),Tasks[[#This Row],[Done?]]="Pending"),0,"")))),"")</f>
        <v/>
      </c>
      <c r="G102" s="29"/>
    </row>
    <row r="103" spans="2:7" ht="30" customHeight="1" x14ac:dyDescent="0.3">
      <c r="B103" s="11">
        <f ca="1">Tasks[[#This Row],[Status Icon]]</f>
        <v>1</v>
      </c>
      <c r="C103" t="s">
        <v>104</v>
      </c>
      <c r="D103" s="12">
        <v>46128</v>
      </c>
      <c r="E103" s="13" t="s">
        <v>133</v>
      </c>
      <c r="F103" s="11">
        <f ca="1">IFERROR(IF(ISBLANK(Tasks[[#This Row],[Due Date]]),"",IF(Tasks[[#This Row],[Done?]]="Yes",1,IF(OR(Tasks[[#This Row],[Due Date]]&gt;PlanDueDate,Tasks[[#This Row],[Done?]]="No"),-1,IF(OR(OR(Tasks[[#This Row],[Due Date]]=TODAY(),Tasks[[#This Row],[Due Date]]=PlanDueDate),Tasks[[#This Row],[Done?]]="Pending"),0,"")))),"")</f>
        <v>1</v>
      </c>
      <c r="G103" s="27" t="s">
        <v>136</v>
      </c>
    </row>
    <row r="104" spans="2:7" ht="30" customHeight="1" x14ac:dyDescent="0.3">
      <c r="B104" s="11">
        <f ca="1">Tasks[[#This Row],[Status Icon]]</f>
        <v>1</v>
      </c>
      <c r="C104" t="s">
        <v>105</v>
      </c>
      <c r="D104" s="12">
        <v>46128</v>
      </c>
      <c r="E104" s="13" t="s">
        <v>133</v>
      </c>
      <c r="F104" s="11">
        <f ca="1">IFERROR(IF(ISBLANK(Tasks[[#This Row],[Due Date]]),"",IF(Tasks[[#This Row],[Done?]]="Yes",1,IF(OR(Tasks[[#This Row],[Due Date]]&gt;PlanDueDate,Tasks[[#This Row],[Done?]]="No"),-1,IF(OR(OR(Tasks[[#This Row],[Due Date]]=TODAY(),Tasks[[#This Row],[Due Date]]=PlanDueDate),Tasks[[#This Row],[Done?]]="Pending"),0,"")))),"")</f>
        <v>1</v>
      </c>
      <c r="G104" s="27" t="s">
        <v>136</v>
      </c>
    </row>
    <row r="105" spans="2:7" ht="30" customHeight="1" x14ac:dyDescent="0.3">
      <c r="B105" s="11">
        <f ca="1">Tasks[[#This Row],[Status Icon]]</f>
        <v>1</v>
      </c>
      <c r="C105" t="s">
        <v>106</v>
      </c>
      <c r="D105" s="12">
        <v>46128</v>
      </c>
      <c r="E105" s="13" t="s">
        <v>133</v>
      </c>
      <c r="F105" s="11">
        <f ca="1">IFERROR(IF(ISBLANK(Tasks[[#This Row],[Due Date]]),"",IF(Tasks[[#This Row],[Done?]]="Yes",1,IF(OR(Tasks[[#This Row],[Due Date]]&gt;PlanDueDate,Tasks[[#This Row],[Done?]]="No"),-1,IF(OR(OR(Tasks[[#This Row],[Due Date]]=TODAY(),Tasks[[#This Row],[Due Date]]=PlanDueDate),Tasks[[#This Row],[Done?]]="Pending"),0,"")))),"")</f>
        <v>1</v>
      </c>
      <c r="G105" s="27" t="s">
        <v>136</v>
      </c>
    </row>
    <row r="106" spans="2:7" ht="30" customHeight="1" x14ac:dyDescent="0.3">
      <c r="B106" s="11">
        <f ca="1">Tasks[[#This Row],[Status Icon]]</f>
        <v>1</v>
      </c>
      <c r="C106" t="s">
        <v>107</v>
      </c>
      <c r="D106" s="12">
        <v>46128</v>
      </c>
      <c r="E106" s="13" t="s">
        <v>133</v>
      </c>
      <c r="F106" s="11">
        <f ca="1">IFERROR(IF(ISBLANK(Tasks[[#This Row],[Due Date]]),"",IF(Tasks[[#This Row],[Done?]]="Yes",1,IF(OR(Tasks[[#This Row],[Due Date]]&gt;PlanDueDate,Tasks[[#This Row],[Done?]]="No"),-1,IF(OR(OR(Tasks[[#This Row],[Due Date]]=TODAY(),Tasks[[#This Row],[Due Date]]=PlanDueDate),Tasks[[#This Row],[Done?]]="Pending"),0,"")))),"")</f>
        <v>1</v>
      </c>
      <c r="G106" s="27" t="s">
        <v>136</v>
      </c>
    </row>
    <row r="107" spans="2:7" ht="30" customHeight="1" x14ac:dyDescent="0.3">
      <c r="B107" s="11" t="str">
        <f ca="1">Tasks[[#This Row],[Status Icon]]</f>
        <v/>
      </c>
      <c r="C107" s="22" t="s">
        <v>108</v>
      </c>
      <c r="D107" s="23"/>
      <c r="E107" s="24"/>
      <c r="F107" s="25" t="str">
        <f ca="1">IFERROR(IF(ISBLANK(Tasks[[#This Row],[Due Date]]),"",IF(Tasks[[#This Row],[Done?]]="Yes",1,IF(OR(Tasks[[#This Row],[Due Date]]&gt;PlanDueDate,Tasks[[#This Row],[Done?]]="No"),-1,IF(OR(OR(Tasks[[#This Row],[Due Date]]=TODAY(),Tasks[[#This Row],[Due Date]]=PlanDueDate),Tasks[[#This Row],[Done?]]="Pending"),0,"")))),"")</f>
        <v/>
      </c>
      <c r="G107" s="29"/>
    </row>
    <row r="108" spans="2:7" ht="30" customHeight="1" x14ac:dyDescent="0.3">
      <c r="B108" s="11">
        <f ca="1">Tasks[[#This Row],[Status Icon]]</f>
        <v>1</v>
      </c>
      <c r="C108" t="s">
        <v>109</v>
      </c>
      <c r="D108" s="12">
        <v>46133</v>
      </c>
      <c r="E108" s="13" t="s">
        <v>133</v>
      </c>
      <c r="F108" s="11">
        <f ca="1">IFERROR(IF(ISBLANK(Tasks[[#This Row],[Due Date]]),"",IF(Tasks[[#This Row],[Done?]]="Yes",1,IF(OR(Tasks[[#This Row],[Due Date]]&gt;PlanDueDate,Tasks[[#This Row],[Done?]]="No"),-1,IF(OR(OR(Tasks[[#This Row],[Due Date]]=TODAY(),Tasks[[#This Row],[Due Date]]=PlanDueDate),Tasks[[#This Row],[Done?]]="Pending"),0,"")))),"")</f>
        <v>1</v>
      </c>
      <c r="G108" s="27" t="s">
        <v>136</v>
      </c>
    </row>
    <row r="109" spans="2:7" ht="30" customHeight="1" x14ac:dyDescent="0.3">
      <c r="B109" s="11">
        <f ca="1">Tasks[[#This Row],[Status Icon]]</f>
        <v>1</v>
      </c>
      <c r="C109" t="s">
        <v>110</v>
      </c>
      <c r="D109" s="12">
        <v>46133</v>
      </c>
      <c r="E109" s="13" t="s">
        <v>133</v>
      </c>
      <c r="F109" s="11">
        <f ca="1">IFERROR(IF(ISBLANK(Tasks[[#This Row],[Due Date]]),"",IF(Tasks[[#This Row],[Done?]]="Yes",1,IF(OR(Tasks[[#This Row],[Due Date]]&gt;PlanDueDate,Tasks[[#This Row],[Done?]]="No"),-1,IF(OR(OR(Tasks[[#This Row],[Due Date]]=TODAY(),Tasks[[#This Row],[Due Date]]=PlanDueDate),Tasks[[#This Row],[Done?]]="Pending"),0,"")))),"")</f>
        <v>1</v>
      </c>
      <c r="G109" s="27" t="s">
        <v>136</v>
      </c>
    </row>
    <row r="110" spans="2:7" ht="30" customHeight="1" x14ac:dyDescent="0.3">
      <c r="B110" s="11" t="str">
        <f ca="1">Tasks[[#This Row],[Status Icon]]</f>
        <v/>
      </c>
      <c r="C110" s="22" t="s">
        <v>111</v>
      </c>
      <c r="D110" s="23"/>
      <c r="E110" s="24"/>
      <c r="F110" s="25" t="str">
        <f ca="1">IFERROR(IF(ISBLANK(Tasks[[#This Row],[Due Date]]),"",IF(Tasks[[#This Row],[Done?]]="Yes",1,IF(OR(Tasks[[#This Row],[Due Date]]&gt;PlanDueDate,Tasks[[#This Row],[Done?]]="No"),-1,IF(OR(OR(Tasks[[#This Row],[Due Date]]=TODAY(),Tasks[[#This Row],[Due Date]]=PlanDueDate),Tasks[[#This Row],[Done?]]="Pending"),0,"")))),"")</f>
        <v/>
      </c>
      <c r="G110" s="29"/>
    </row>
    <row r="111" spans="2:7" ht="30" customHeight="1" x14ac:dyDescent="0.3">
      <c r="B111" s="11">
        <f ca="1">Tasks[[#This Row],[Status Icon]]</f>
        <v>1</v>
      </c>
      <c r="C111" t="s">
        <v>112</v>
      </c>
      <c r="D111" s="12">
        <v>46135</v>
      </c>
      <c r="E111" s="13" t="s">
        <v>133</v>
      </c>
      <c r="F111" s="11">
        <f ca="1">IFERROR(IF(ISBLANK(Tasks[[#This Row],[Due Date]]),"",IF(Tasks[[#This Row],[Done?]]="Yes",1,IF(OR(Tasks[[#This Row],[Due Date]]&gt;PlanDueDate,Tasks[[#This Row],[Done?]]="No"),-1,IF(OR(OR(Tasks[[#This Row],[Due Date]]=TODAY(),Tasks[[#This Row],[Due Date]]=PlanDueDate),Tasks[[#This Row],[Done?]]="Pending"),0,"")))),"")</f>
        <v>1</v>
      </c>
      <c r="G111" s="27" t="s">
        <v>138</v>
      </c>
    </row>
    <row r="112" spans="2:7" ht="30" customHeight="1" x14ac:dyDescent="0.3">
      <c r="B112" s="11">
        <f ca="1">Tasks[[#This Row],[Status Icon]]</f>
        <v>1</v>
      </c>
      <c r="C112" t="s">
        <v>113</v>
      </c>
      <c r="D112" s="12">
        <v>46142</v>
      </c>
      <c r="E112" s="13" t="s">
        <v>133</v>
      </c>
      <c r="F112" s="11">
        <f ca="1">IFERROR(IF(ISBLANK(Tasks[[#This Row],[Due Date]]),"",IF(Tasks[[#This Row],[Done?]]="Yes",1,IF(OR(Tasks[[#This Row],[Due Date]]&gt;PlanDueDate,Tasks[[#This Row],[Done?]]="No"),-1,IF(OR(OR(Tasks[[#This Row],[Due Date]]=TODAY(),Tasks[[#This Row],[Due Date]]=PlanDueDate),Tasks[[#This Row],[Done?]]="Pending"),0,"")))),"")</f>
        <v>1</v>
      </c>
      <c r="G112" s="27" t="s">
        <v>136</v>
      </c>
    </row>
    <row r="113" spans="2:7" ht="30" customHeight="1" x14ac:dyDescent="0.3">
      <c r="B113" s="11">
        <f ca="1">Tasks[[#This Row],[Status Icon]]</f>
        <v>1</v>
      </c>
      <c r="C113" t="s">
        <v>114</v>
      </c>
      <c r="D113" s="12">
        <v>46142</v>
      </c>
      <c r="E113" s="13" t="s">
        <v>133</v>
      </c>
      <c r="F113" s="11">
        <f ca="1">IFERROR(IF(ISBLANK(Tasks[[#This Row],[Due Date]]),"",IF(Tasks[[#This Row],[Done?]]="Yes",1,IF(OR(Tasks[[#This Row],[Due Date]]&gt;PlanDueDate,Tasks[[#This Row],[Done?]]="No"),-1,IF(OR(OR(Tasks[[#This Row],[Due Date]]=TODAY(),Tasks[[#This Row],[Due Date]]=PlanDueDate),Tasks[[#This Row],[Done?]]="Pending"),0,"")))),"")</f>
        <v>1</v>
      </c>
      <c r="G113" s="27" t="s">
        <v>136</v>
      </c>
    </row>
    <row r="114" spans="2:7" ht="30" customHeight="1" x14ac:dyDescent="0.3">
      <c r="B114" s="11">
        <f ca="1">Tasks[[#This Row],[Status Icon]]</f>
        <v>1</v>
      </c>
      <c r="C114" t="s">
        <v>115</v>
      </c>
      <c r="D114" s="12">
        <v>46142</v>
      </c>
      <c r="E114" s="13" t="s">
        <v>133</v>
      </c>
      <c r="F114" s="11">
        <f ca="1">IFERROR(IF(ISBLANK(Tasks[[#This Row],[Due Date]]),"",IF(Tasks[[#This Row],[Done?]]="Yes",1,IF(OR(Tasks[[#This Row],[Due Date]]&gt;PlanDueDate,Tasks[[#This Row],[Done?]]="No"),-1,IF(OR(OR(Tasks[[#This Row],[Due Date]]=TODAY(),Tasks[[#This Row],[Due Date]]=PlanDueDate),Tasks[[#This Row],[Done?]]="Pending"),0,"")))),"")</f>
        <v>1</v>
      </c>
      <c r="G114" s="27" t="s">
        <v>136</v>
      </c>
    </row>
    <row r="115" spans="2:7" ht="30" customHeight="1" x14ac:dyDescent="0.3">
      <c r="B115" s="11" t="str">
        <f ca="1">Tasks[[#This Row],[Status Icon]]</f>
        <v/>
      </c>
      <c r="C115" s="22" t="s">
        <v>116</v>
      </c>
      <c r="D115" s="23"/>
      <c r="E115" s="24"/>
      <c r="F115" s="25" t="str">
        <f ca="1">IFERROR(IF(ISBLANK(Tasks[[#This Row],[Due Date]]),"",IF(Tasks[[#This Row],[Done?]]="Yes",1,IF(OR(Tasks[[#This Row],[Due Date]]&gt;PlanDueDate,Tasks[[#This Row],[Done?]]="No"),-1,IF(OR(OR(Tasks[[#This Row],[Due Date]]=TODAY(),Tasks[[#This Row],[Due Date]]=PlanDueDate),Tasks[[#This Row],[Done?]]="Pending"),0,"")))),"")</f>
        <v/>
      </c>
      <c r="G115" s="29"/>
    </row>
    <row r="116" spans="2:7" ht="30" customHeight="1" x14ac:dyDescent="0.3">
      <c r="B116" s="11">
        <f ca="1">Tasks[[#This Row],[Status Icon]]</f>
        <v>1</v>
      </c>
      <c r="C116" t="s">
        <v>117</v>
      </c>
      <c r="D116" s="12">
        <v>46156</v>
      </c>
      <c r="E116" s="13" t="s">
        <v>133</v>
      </c>
      <c r="F116" s="11">
        <f ca="1">IFERROR(IF(ISBLANK(Tasks[[#This Row],[Due Date]]),"",IF(Tasks[[#This Row],[Done?]]="Yes",1,IF(OR(Tasks[[#This Row],[Due Date]]&gt;PlanDueDate,Tasks[[#This Row],[Done?]]="No"),-1,IF(OR(OR(Tasks[[#This Row],[Due Date]]=TODAY(),Tasks[[#This Row],[Due Date]]=PlanDueDate),Tasks[[#This Row],[Done?]]="Pending"),0,"")))),"")</f>
        <v>1</v>
      </c>
      <c r="G116" s="27" t="s">
        <v>136</v>
      </c>
    </row>
    <row r="117" spans="2:7" ht="30" customHeight="1" x14ac:dyDescent="0.3">
      <c r="B117" s="11">
        <f ca="1">Tasks[[#This Row],[Status Icon]]</f>
        <v>1</v>
      </c>
      <c r="C117" t="s">
        <v>118</v>
      </c>
      <c r="D117" s="12">
        <v>46156</v>
      </c>
      <c r="E117" s="13" t="s">
        <v>133</v>
      </c>
      <c r="F117" s="11">
        <f ca="1">IFERROR(IF(ISBLANK(Tasks[[#This Row],[Due Date]]),"",IF(Tasks[[#This Row],[Done?]]="Yes",1,IF(OR(Tasks[[#This Row],[Due Date]]&gt;PlanDueDate,Tasks[[#This Row],[Done?]]="No"),-1,IF(OR(OR(Tasks[[#This Row],[Due Date]]=TODAY(),Tasks[[#This Row],[Due Date]]=PlanDueDate),Tasks[[#This Row],[Done?]]="Pending"),0,"")))),"")</f>
        <v>1</v>
      </c>
      <c r="G117" s="27" t="s">
        <v>136</v>
      </c>
    </row>
    <row r="118" spans="2:7" ht="30" customHeight="1" x14ac:dyDescent="0.3">
      <c r="B118" s="11" t="str">
        <f ca="1">Tasks[[#This Row],[Status Icon]]</f>
        <v/>
      </c>
      <c r="C118" s="22" t="s">
        <v>119</v>
      </c>
      <c r="D118" s="23"/>
      <c r="E118" s="24"/>
      <c r="F118" s="25" t="str">
        <f ca="1">IFERROR(IF(ISBLANK(Tasks[[#This Row],[Due Date]]),"",IF(Tasks[[#This Row],[Done?]]="Yes",1,IF(OR(Tasks[[#This Row],[Due Date]]&gt;PlanDueDate,Tasks[[#This Row],[Done?]]="No"),-1,IF(OR(OR(Tasks[[#This Row],[Due Date]]=TODAY(),Tasks[[#This Row],[Due Date]]=PlanDueDate),Tasks[[#This Row],[Done?]]="Pending"),0,"")))),"")</f>
        <v/>
      </c>
      <c r="G118" s="29"/>
    </row>
    <row r="119" spans="2:7" ht="30" customHeight="1" x14ac:dyDescent="0.3">
      <c r="B119" s="11">
        <f ca="1">Tasks[[#This Row],[Status Icon]]</f>
        <v>1</v>
      </c>
      <c r="C119" t="s">
        <v>120</v>
      </c>
      <c r="D119" s="12">
        <v>46163</v>
      </c>
      <c r="E119" s="13" t="s">
        <v>133</v>
      </c>
      <c r="F119" s="11">
        <f ca="1">IFERROR(IF(ISBLANK(Tasks[[#This Row],[Due Date]]),"",IF(Tasks[[#This Row],[Done?]]="Yes",1,IF(OR(Tasks[[#This Row],[Due Date]]&gt;PlanDueDate,Tasks[[#This Row],[Done?]]="No"),-1,IF(OR(OR(Tasks[[#This Row],[Due Date]]=TODAY(),Tasks[[#This Row],[Due Date]]=PlanDueDate),Tasks[[#This Row],[Done?]]="Pending"),0,"")))),"")</f>
        <v>1</v>
      </c>
      <c r="G119" s="27" t="s">
        <v>139</v>
      </c>
    </row>
    <row r="120" spans="2:7" ht="30" customHeight="1" x14ac:dyDescent="0.3">
      <c r="B120" s="11">
        <f ca="1">Tasks[[#This Row],[Status Icon]]</f>
        <v>1</v>
      </c>
      <c r="C120" t="s">
        <v>121</v>
      </c>
      <c r="D120" s="12">
        <v>46170</v>
      </c>
      <c r="E120" s="13" t="s">
        <v>133</v>
      </c>
      <c r="F120" s="11">
        <f ca="1">IFERROR(IF(ISBLANK(Tasks[[#This Row],[Due Date]]),"",IF(Tasks[[#This Row],[Done?]]="Yes",1,IF(OR(Tasks[[#This Row],[Due Date]]&gt;PlanDueDate,Tasks[[#This Row],[Done?]]="No"),-1,IF(OR(OR(Tasks[[#This Row],[Due Date]]=TODAY(),Tasks[[#This Row],[Due Date]]=PlanDueDate),Tasks[[#This Row],[Done?]]="Pending"),0,"")))),"")</f>
        <v>1</v>
      </c>
      <c r="G120" s="27" t="s">
        <v>138</v>
      </c>
    </row>
    <row r="121" spans="2:7" ht="30" customHeight="1" x14ac:dyDescent="0.3">
      <c r="B121" s="11">
        <f ca="1">Tasks[[#This Row],[Status Icon]]</f>
        <v>1</v>
      </c>
      <c r="C121" t="s">
        <v>122</v>
      </c>
      <c r="D121" s="12">
        <v>46170</v>
      </c>
      <c r="E121" s="13" t="s">
        <v>133</v>
      </c>
      <c r="F121" s="11">
        <f ca="1">IFERROR(IF(ISBLANK(Tasks[[#This Row],[Due Date]]),"",IF(Tasks[[#This Row],[Done?]]="Yes",1,IF(OR(Tasks[[#This Row],[Due Date]]&gt;PlanDueDate,Tasks[[#This Row],[Done?]]="No"),-1,IF(OR(OR(Tasks[[#This Row],[Due Date]]=TODAY(),Tasks[[#This Row],[Due Date]]=PlanDueDate),Tasks[[#This Row],[Done?]]="Pending"),0,"")))),"")</f>
        <v>1</v>
      </c>
      <c r="G121" s="27" t="s">
        <v>139</v>
      </c>
    </row>
    <row r="122" spans="2:7" ht="30" customHeight="1" x14ac:dyDescent="0.3">
      <c r="B122" s="11">
        <f ca="1">Tasks[[#This Row],[Status Icon]]</f>
        <v>1</v>
      </c>
      <c r="C122" t="s">
        <v>123</v>
      </c>
      <c r="D122" s="12">
        <v>46170</v>
      </c>
      <c r="E122" s="13" t="s">
        <v>133</v>
      </c>
      <c r="F122" s="11">
        <f ca="1">IFERROR(IF(ISBLANK(Tasks[[#This Row],[Due Date]]),"",IF(Tasks[[#This Row],[Done?]]="Yes",1,IF(OR(Tasks[[#This Row],[Due Date]]&gt;PlanDueDate,Tasks[[#This Row],[Done?]]="No"),-1,IF(OR(OR(Tasks[[#This Row],[Due Date]]=TODAY(),Tasks[[#This Row],[Due Date]]=PlanDueDate),Tasks[[#This Row],[Done?]]="Pending"),0,"")))),"")</f>
        <v>1</v>
      </c>
      <c r="G122" s="27" t="s">
        <v>139</v>
      </c>
    </row>
    <row r="123" spans="2:7" ht="30" customHeight="1" x14ac:dyDescent="0.3">
      <c r="B123" s="11" t="str">
        <f ca="1">Tasks[[#This Row],[Status Icon]]</f>
        <v/>
      </c>
      <c r="C123" s="22" t="s">
        <v>124</v>
      </c>
      <c r="D123" s="23"/>
      <c r="E123" s="24"/>
      <c r="F123" s="25" t="str">
        <f ca="1">IFERROR(IF(ISBLANK(Tasks[[#This Row],[Due Date]]),"",IF(Tasks[[#This Row],[Done?]]="Yes",1,IF(OR(Tasks[[#This Row],[Due Date]]&gt;PlanDueDate,Tasks[[#This Row],[Done?]]="No"),-1,IF(OR(OR(Tasks[[#This Row],[Due Date]]=TODAY(),Tasks[[#This Row],[Due Date]]=PlanDueDate),Tasks[[#This Row],[Done?]]="Pending"),0,"")))),"")</f>
        <v/>
      </c>
      <c r="G123" s="29"/>
    </row>
    <row r="124" spans="2:7" ht="30" customHeight="1" x14ac:dyDescent="0.3">
      <c r="B124" s="11">
        <f ca="1">Tasks[[#This Row],[Status Icon]]</f>
        <v>1</v>
      </c>
      <c r="C124" t="s">
        <v>125</v>
      </c>
      <c r="D124" s="12">
        <v>46177</v>
      </c>
      <c r="E124" s="13" t="s">
        <v>133</v>
      </c>
      <c r="F124" s="11">
        <f ca="1">IFERROR(IF(ISBLANK(Tasks[[#This Row],[Due Date]]),"",IF(Tasks[[#This Row],[Done?]]="Yes",1,IF(OR(Tasks[[#This Row],[Due Date]]&gt;PlanDueDate,Tasks[[#This Row],[Done?]]="No"),-1,IF(OR(OR(Tasks[[#This Row],[Due Date]]=TODAY(),Tasks[[#This Row],[Due Date]]=PlanDueDate),Tasks[[#This Row],[Done?]]="Pending"),0,"")))),"")</f>
        <v>1</v>
      </c>
      <c r="G124" s="27" t="s">
        <v>136</v>
      </c>
    </row>
    <row r="125" spans="2:7" ht="30" customHeight="1" x14ac:dyDescent="0.3">
      <c r="B125" s="11">
        <f ca="1">Tasks[[#This Row],[Status Icon]]</f>
        <v>0</v>
      </c>
      <c r="C125" t="s">
        <v>126</v>
      </c>
      <c r="D125" s="12">
        <v>46177</v>
      </c>
      <c r="E125" s="13" t="s">
        <v>147</v>
      </c>
      <c r="F125" s="11">
        <f ca="1">IFERROR(IF(ISBLANK(Tasks[[#This Row],[Due Date]]),"",IF(Tasks[[#This Row],[Done?]]="Yes",1,IF(OR(Tasks[[#This Row],[Due Date]]&gt;PlanDueDate,Tasks[[#This Row],[Done?]]="No"),-1,IF(OR(OR(Tasks[[#This Row],[Due Date]]=TODAY(),Tasks[[#This Row],[Due Date]]=PlanDueDate),Tasks[[#This Row],[Done?]]="Pending"),0,"")))),"")</f>
        <v>0</v>
      </c>
      <c r="G125" s="27" t="s">
        <v>139</v>
      </c>
    </row>
    <row r="126" spans="2:7" ht="30" customHeight="1" x14ac:dyDescent="0.3">
      <c r="B126" s="11">
        <f ca="1">Tasks[[#This Row],[Status Icon]]</f>
        <v>1</v>
      </c>
      <c r="C126" t="s">
        <v>127</v>
      </c>
      <c r="D126" s="12">
        <v>46177</v>
      </c>
      <c r="E126" s="13" t="s">
        <v>133</v>
      </c>
      <c r="F126" s="11">
        <f ca="1">IFERROR(IF(ISBLANK(Tasks[[#This Row],[Due Date]]),"",IF(Tasks[[#This Row],[Done?]]="Yes",1,IF(OR(Tasks[[#This Row],[Due Date]]&gt;PlanDueDate,Tasks[[#This Row],[Done?]]="No"),-1,IF(OR(OR(Tasks[[#This Row],[Due Date]]=TODAY(),Tasks[[#This Row],[Due Date]]=PlanDueDate),Tasks[[#This Row],[Done?]]="Pending"),0,"")))),"")</f>
        <v>1</v>
      </c>
      <c r="G126" s="27" t="s">
        <v>138</v>
      </c>
    </row>
    <row r="127" spans="2:7" ht="30" customHeight="1" x14ac:dyDescent="0.3">
      <c r="B127" s="11">
        <f ca="1">Tasks[[#This Row],[Status Icon]]</f>
        <v>1</v>
      </c>
      <c r="C127" t="s">
        <v>128</v>
      </c>
      <c r="D127" s="12">
        <v>46177</v>
      </c>
      <c r="E127" s="13" t="s">
        <v>133</v>
      </c>
      <c r="F127" s="11">
        <f ca="1">IFERROR(IF(ISBLANK(Tasks[[#This Row],[Due Date]]),"",IF(Tasks[[#This Row],[Done?]]="Yes",1,IF(OR(Tasks[[#This Row],[Due Date]]&gt;PlanDueDate,Tasks[[#This Row],[Done?]]="No"),-1,IF(OR(OR(Tasks[[#This Row],[Due Date]]=TODAY(),Tasks[[#This Row],[Due Date]]=PlanDueDate),Tasks[[#This Row],[Done?]]="Pending"),0,"")))),"")</f>
        <v>1</v>
      </c>
      <c r="G127" s="27" t="s">
        <v>136</v>
      </c>
    </row>
    <row r="128" spans="2:7" ht="30" customHeight="1" x14ac:dyDescent="0.3">
      <c r="B128" s="11">
        <f ca="1">Tasks[[#This Row],[Status Icon]]</f>
        <v>1</v>
      </c>
      <c r="C128" t="s">
        <v>129</v>
      </c>
      <c r="D128" s="12">
        <v>46177</v>
      </c>
      <c r="E128" s="13" t="s">
        <v>133</v>
      </c>
      <c r="F128" s="11">
        <f ca="1">IFERROR(IF(ISBLANK(Tasks[[#This Row],[Due Date]]),"",IF(Tasks[[#This Row],[Done?]]="Yes",1,IF(OR(Tasks[[#This Row],[Due Date]]&gt;PlanDueDate,Tasks[[#This Row],[Done?]]="No"),-1,IF(OR(OR(Tasks[[#This Row],[Due Date]]=TODAY(),Tasks[[#This Row],[Due Date]]=PlanDueDate),Tasks[[#This Row],[Done?]]="Pending"),0,"")))),"")</f>
        <v>1</v>
      </c>
      <c r="G128" s="27" t="s">
        <v>138</v>
      </c>
    </row>
    <row r="129" spans="2:7" ht="30" customHeight="1" x14ac:dyDescent="0.3">
      <c r="B129" s="11" t="str">
        <f ca="1">Tasks[[#This Row],[Status Icon]]</f>
        <v/>
      </c>
      <c r="C129" s="22" t="s">
        <v>130</v>
      </c>
      <c r="D129" s="23"/>
      <c r="E129" s="24"/>
      <c r="F129" s="25" t="str">
        <f ca="1">IFERROR(IF(ISBLANK(Tasks[[#This Row],[Due Date]]),"",IF(Tasks[[#This Row],[Done?]]="Yes",1,IF(OR(Tasks[[#This Row],[Due Date]]&gt;PlanDueDate,Tasks[[#This Row],[Done?]]="No"),-1,IF(OR(OR(Tasks[[#This Row],[Due Date]]=TODAY(),Tasks[[#This Row],[Due Date]]=PlanDueDate),Tasks[[#This Row],[Done?]]="Pending"),0,"")))),"")</f>
        <v/>
      </c>
      <c r="G129" s="29"/>
    </row>
    <row r="130" spans="2:7" ht="30" customHeight="1" x14ac:dyDescent="0.3">
      <c r="B130" s="11">
        <f ca="1">Tasks[[#This Row],[Status Icon]]</f>
        <v>-1</v>
      </c>
      <c r="C130" t="s">
        <v>131</v>
      </c>
      <c r="D130" s="12">
        <v>46185</v>
      </c>
      <c r="E130" s="13" t="s">
        <v>10</v>
      </c>
      <c r="F130" s="11">
        <f ca="1">IFERROR(IF(ISBLANK(Tasks[[#This Row],[Due Date]]),"",IF(Tasks[[#This Row],[Done?]]="Yes",1,IF(OR(Tasks[[#This Row],[Due Date]]&gt;PlanDueDate,Tasks[[#This Row],[Done?]]="No"),-1,IF(OR(OR(Tasks[[#This Row],[Due Date]]=TODAY(),Tasks[[#This Row],[Due Date]]=PlanDueDate),Tasks[[#This Row],[Done?]]="Pending"),0,"")))),"")</f>
        <v>-1</v>
      </c>
      <c r="G130" s="27" t="s">
        <v>138</v>
      </c>
    </row>
    <row r="131" spans="2:7" ht="30" customHeight="1" x14ac:dyDescent="0.3">
      <c r="B131" s="11">
        <f ca="1">Tasks[[#This Row],[Status Icon]]</f>
        <v>1</v>
      </c>
      <c r="C131" t="s">
        <v>145</v>
      </c>
      <c r="D131" s="12">
        <v>46185</v>
      </c>
      <c r="E131" s="13" t="s">
        <v>133</v>
      </c>
      <c r="F131" s="11">
        <f ca="1">IFERROR(IF(ISBLANK(Tasks[[#This Row],[Due Date]]),"",IF(Tasks[[#This Row],[Done?]]="Yes",1,IF(OR(Tasks[[#This Row],[Due Date]]&gt;PlanDueDate,Tasks[[#This Row],[Done?]]="No"),-1,IF(OR(OR(Tasks[[#This Row],[Due Date]]=TODAY(),Tasks[[#This Row],[Due Date]]=PlanDueDate),Tasks[[#This Row],[Done?]]="Pending"),0,"")))),"")</f>
        <v>1</v>
      </c>
      <c r="G131" s="27" t="s">
        <v>136</v>
      </c>
    </row>
    <row r="132" spans="2:7" ht="30" customHeight="1" x14ac:dyDescent="0.3">
      <c r="B132" s="11">
        <f ca="1">Tasks[[#This Row],[Status Icon]]</f>
        <v>1</v>
      </c>
      <c r="C132" t="s">
        <v>132</v>
      </c>
      <c r="D132" s="12">
        <v>46185</v>
      </c>
      <c r="E132" s="13" t="s">
        <v>133</v>
      </c>
      <c r="F132" s="11">
        <f ca="1">IFERROR(IF(ISBLANK(Tasks[[#This Row],[Due Date]]),"",IF(Tasks[[#This Row],[Done?]]="Yes",1,IF(OR(Tasks[[#This Row],[Due Date]]&gt;PlanDueDate,Tasks[[#This Row],[Done?]]="No"),-1,IF(OR(OR(Tasks[[#This Row],[Due Date]]=TODAY(),Tasks[[#This Row],[Due Date]]=PlanDueDate),Tasks[[#This Row],[Done?]]="Pending"),0,"")))),"")</f>
        <v>1</v>
      </c>
      <c r="G132" s="27" t="s">
        <v>136</v>
      </c>
    </row>
  </sheetData>
  <mergeCells count="6">
    <mergeCell ref="B1:C1"/>
    <mergeCell ref="B2:C3"/>
    <mergeCell ref="E4:G4"/>
    <mergeCell ref="E5:G5"/>
    <mergeCell ref="B4:D4"/>
    <mergeCell ref="B5:D5"/>
  </mergeCells>
  <conditionalFormatting sqref="B7:B132">
    <cfRule type="colorScale" priority="21">
      <colorScale>
        <cfvo type="num" val="-1"/>
        <cfvo type="num" val="0"/>
        <cfvo type="num" val="1"/>
        <color theme="5" tint="-0.249977111117893"/>
        <color theme="8" tint="0.39997558519241921"/>
        <color theme="6" tint="-0.249977111117893"/>
      </colorScale>
    </cfRule>
  </conditionalFormatting>
  <conditionalFormatting sqref="F7:F132">
    <cfRule type="expression" dxfId="5" priority="31">
      <formula>F7=1</formula>
    </cfRule>
    <cfRule type="expression" dxfId="4" priority="32">
      <formula>F7=0</formula>
    </cfRule>
    <cfRule type="expression" dxfId="3" priority="33">
      <formula>F7=-1</formula>
    </cfRule>
    <cfRule type="iconSet" priority="34">
      <iconSet iconSet="3Symbols2">
        <cfvo type="percent" val="0"/>
        <cfvo type="num" val="0"/>
        <cfvo type="num" val="1"/>
      </iconSet>
    </cfRule>
  </conditionalFormatting>
  <conditionalFormatting sqref="G26:G34">
    <cfRule type="expression" dxfId="2" priority="39">
      <formula>G26=1</formula>
    </cfRule>
    <cfRule type="expression" dxfId="1" priority="40">
      <formula>G26=0</formula>
    </cfRule>
    <cfRule type="expression" dxfId="0" priority="41">
      <formula>G26=-1</formula>
    </cfRule>
    <cfRule type="iconSet" priority="42">
      <iconSet iconSet="3Symbols2">
        <cfvo type="percent" val="0"/>
        <cfvo type="num" val="0"/>
        <cfvo type="num" val="1"/>
      </iconSet>
    </cfRule>
  </conditionalFormatting>
  <dataValidations xWindow="1660" yWindow="543" count="20">
    <dataValidation allowBlank="1" showInputMessage="1" showErrorMessage="1" prompt="Create an Idea Planner in this worksheet. Set a Goal and an Objective, and enter task details in the Tasks table" sqref="A1" xr:uid="{00000000-0002-0000-0000-000000000000}"/>
    <dataValidation allowBlank="1" showInputMessage="1" showErrorMessage="1" prompt="Image is in this cell. Title of this worksheet is in cell below" sqref="B1" xr:uid="{00000000-0002-0000-0000-000001000000}"/>
    <dataValidation allowBlank="1" showInputMessage="1" showErrorMessage="1" prompt="Enter Topic in cell at right" sqref="D2" xr:uid="{00000000-0002-0000-0000-000002000000}"/>
    <dataValidation allowBlank="1" showInputMessage="1" showErrorMessage="1" prompt="Enter Topic in this cell" sqref="E2" xr:uid="{00000000-0002-0000-0000-000003000000}"/>
    <dataValidation allowBlank="1" showInputMessage="1" showErrorMessage="1" prompt="Enter Keywords in cell at right" sqref="F2" xr:uid="{00000000-0002-0000-0000-000004000000}"/>
    <dataValidation allowBlank="1" showInputMessage="1" showErrorMessage="1" prompt="Enter Plan Due Date in cell at right" sqref="D3" xr:uid="{00000000-0002-0000-0000-000006000000}"/>
    <dataValidation allowBlank="1" showInputMessage="1" showErrorMessage="1" prompt="Enter Plan Due Date in this cell" sqref="E3" xr:uid="{00000000-0002-0000-0000-000007000000}"/>
    <dataValidation allowBlank="1" showInputMessage="1" showErrorMessage="1" prompt="Enter Name in cell at right" sqref="F3" xr:uid="{00000000-0002-0000-0000-000008000000}"/>
    <dataValidation allowBlank="1" showInputMessage="1" showErrorMessage="1" prompt="Enter Goal in cell below" sqref="B4:D4" xr:uid="{00000000-0002-0000-0000-00000A000000}"/>
    <dataValidation allowBlank="1" showInputMessage="1" showErrorMessage="1" prompt="Enter Objective in cell below" sqref="E4:F4" xr:uid="{00000000-0002-0000-0000-00000B000000}"/>
    <dataValidation allowBlank="1" showInputMessage="1" showErrorMessage="1" prompt="Enter Goal in this cell" sqref="B5:D5" xr:uid="{00000000-0002-0000-0000-00000C000000}"/>
    <dataValidation allowBlank="1" showInputMessage="1" showErrorMessage="1" prompt="This column is automatically updated and indicates status based on column F" sqref="B6" xr:uid="{00000000-0002-0000-0000-00000D000000}"/>
    <dataValidation allowBlank="1" showInputMessage="1" showErrorMessage="1" prompt="Enter Tasks in this column under this heading" sqref="C6" xr:uid="{00000000-0002-0000-0000-00000E000000}"/>
    <dataValidation allowBlank="1" showInputMessage="1" showErrorMessage="1" prompt="Enter Due Date in this column under this heading" sqref="D6" xr:uid="{00000000-0002-0000-0000-00000F000000}"/>
    <dataValidation allowBlank="1" showInputMessage="1" showErrorMessage="1" prompt="Select task completion status in this column. Press ALT+DOWN ARROW to open the drop-down list, ENTER to make selection. An icon representing this status is in the column at right" sqref="E6" xr:uid="{00000000-0002-0000-0000-000011000000}"/>
    <dataValidation allowBlank="1" showInputMessage="1" showErrorMessage="1" prompt="Status icons in this column are automatically updated based on Done column value &amp; comparing Due Dates. Dates beyond the due date &amp; just before the due date are noted for emphasis" sqref="F6" xr:uid="{00000000-0002-0000-0000-000012000000}"/>
    <dataValidation allowBlank="1" showInputMessage="1" showErrorMessage="1" prompt="Enter Objective in this cell" sqref="E5:F5" xr:uid="{00000000-0002-0000-0000-000013000000}"/>
    <dataValidation allowBlank="1" showInputMessage="1" showErrorMessage="1" prompt="Title of this worksheet is in this cell. Enter idea details in cells at right. Enter Goal and Objective below. Enter tasks in Tasks table below" sqref="B2:C3" xr:uid="{00000000-0002-0000-0000-000014000000}"/>
    <dataValidation type="list" allowBlank="1" showInputMessage="1" showErrorMessage="1" sqref="G1:G1048576" xr:uid="{482F76EC-3095-4ECD-80A0-E3C86F6A9FD3}">
      <formula1>"Sanjivan,Egor,Sanjivan &amp; Egor, Unbestimmt"</formula1>
    </dataValidation>
    <dataValidation type="list" errorStyle="warning" allowBlank="1" showInputMessage="1" showErrorMessage="1" error="Select an option from the list. Press Cancel then ALT+DOWN ARROW to open the drop-down list, then ENTER to make selection" sqref="E7:E132" xr:uid="{00000000-0002-0000-0000-000015000000}">
      <formula1>"Yes, No, Pending"</formula1>
    </dataValidation>
  </dataValidations>
  <printOptions horizontalCentered="1"/>
  <pageMargins left="0.25" right="0.25" top="0.75" bottom="0.75" header="0.3" footer="0.3"/>
  <pageSetup scale="62" fitToHeight="0" orientation="portrait" r:id="rId1"/>
  <headerFooter differentFirst="1">
    <oddFooter>Page &amp;P of &amp;N</oddFooter>
  </headerFooter>
  <drawing r:id="rId2"/>
  <tableParts count="1">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6</vt:i4>
      </vt:variant>
    </vt:vector>
  </HeadingPairs>
  <TitlesOfParts>
    <vt:vector size="7" baseType="lpstr">
      <vt:lpstr>Idea Planner</vt:lpstr>
      <vt:lpstr>ColumnTitle1</vt:lpstr>
      <vt:lpstr>ColumnTitleRegion1..G5.1</vt:lpstr>
      <vt:lpstr>'Idea Planner'!Drucktitel</vt:lpstr>
      <vt:lpstr>PlanDueDate</vt:lpstr>
      <vt:lpstr>RowTitleRegion1..E3</vt:lpstr>
      <vt:lpstr>RowTitleRegion2..G3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Sanjivan Selvarasa</dc:creator>
  <cp:keywords/>
  <dc:description/>
  <cp:lastModifiedBy>FMZ; Selvarasa Sanjivan</cp:lastModifiedBy>
  <cp:revision/>
  <dcterms:created xsi:type="dcterms:W3CDTF">2017-04-20T06:51:36Z</dcterms:created>
  <dcterms:modified xsi:type="dcterms:W3CDTF">2026-06-12T16:30:26Z</dcterms:modified>
  <cp:category/>
  <cp:contentStatus/>
</cp:coreProperties>
</file>