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BEEB3465-5B43-4D6A-B68A-70F0F5621A14}" xr6:coauthVersionLast="47" xr6:coauthVersionMax="47" xr10:uidLastSave="{00000000-0000-0000-0000-000000000000}"/>
  <bookViews>
    <workbookView xWindow="28680" yWindow="-378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<sst xmlns="http://schemas.openxmlformats.org/spreadsheetml/2006/main" count="347" uniqueCount="149">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</sst>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20" zoomScaleNormal="100" workbookViewId="0">
      <selection activeCell="E30" sqref="E30"/>
    </sheetView>
  </sheetViews>
  <sheetFormatPr defaultColWidth="8.7265625" defaultRowHeight="30" customHeight="1" x14ac:dyDescent="0.35"/>
  <cols>
    <col min="1" max="1" width="2.54296875" customWidth="1"/>
    <col min="2" max="2" width="1" customWidth="1"/>
    <col min="3" max="3" width="42.54296875" customWidth="1"/>
    <col min="4" max="4" width="18.54296875" customWidth="1"/>
    <col min="5" max="5" width="22.54296875" customWidth="1"/>
    <col min="6" max="6" width="31" customWidth="1"/>
    <col min="7" max="7" width="43.453125" customWidth="1"/>
    <col min="8" max="8" width="2.54296875" customWidth="1"/>
  </cols>
  <sheetData>
    <row r="1" spans="2:7" ht="33.75" customHeight="1" x14ac:dyDescent="0.35">
      <c r="B1" s="33"/>
      <c r="C1" s="33"/>
    </row>
    <row r="2" spans="2:7" ht="33" customHeight="1" thickBot="1" x14ac:dyDescent="0.4">
      <c r="B2" s="34" t="s">
        <v>0</v>
      </c>
      <c r="C2" s="34"/>
      <c r="D2" s="1" t="s">
        <v>1</v>
      </c>
      <c r="E2" s="2" t="s">
        <v>13</v>
      </c>
      <c r="F2" s="1"/>
      <c r="G2" s="1"/>
    </row>
    <row r="3" spans="2:7" ht="33" customHeight="1" thickTop="1" thickBot="1" x14ac:dyDescent="0.4">
      <c r="B3" s="34"/>
      <c r="C3" s="34"/>
      <c r="D3" s="10" t="s">
        <v>12</v>
      </c>
      <c r="E3" s="5">
        <v>46185</v>
      </c>
      <c r="F3" s="1" t="s">
        <v>2</v>
      </c>
      <c r="G3" s="2" t="s">
        <v>11</v>
      </c>
    </row>
    <row r="4" spans="2:7" ht="28.5" customHeight="1" thickTop="1" x14ac:dyDescent="0.45">
      <c r="B4" s="35" t="s">
        <v>3</v>
      </c>
      <c r="C4" s="35"/>
      <c r="D4" s="35"/>
      <c r="E4" s="35" t="s">
        <v>4</v>
      </c>
      <c r="F4" s="35"/>
      <c r="G4" s="35"/>
    </row>
    <row r="5" spans="2:7" ht="75" customHeight="1" x14ac:dyDescent="0.35">
      <c r="B5" s="36" t="s">
        <v>145</v>
      </c>
      <c r="C5" s="36"/>
      <c r="D5" s="36"/>
      <c r="E5" s="36" t="s">
        <v>135</v>
      </c>
      <c r="F5" s="36"/>
      <c r="G5" s="36"/>
    </row>
    <row r="6" spans="2:7" ht="50.15" customHeight="1" x14ac:dyDescent="0.35">
      <c r="B6" s="3" t="s">
        <v>5</v>
      </c>
      <c r="C6" s="3" t="s">
        <v>6</v>
      </c>
      <c r="D6" s="6" t="s">
        <v>7</v>
      </c>
      <c r="E6" s="6" t="s">
        <v>8</v>
      </c>
      <c r="F6" s="6" t="s">
        <v>9</v>
      </c>
      <c r="G6" s="3" t="s">
        <v>136</v>
      </c>
    </row>
    <row r="7" spans="2:7" ht="30" customHeight="1" x14ac:dyDescent="0.3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5">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5">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5">
      <c r="B22" s="11">
        <f ca="1">Tasks[[#This Row],[Status Icon]]</f>
        <v>1</v>
      </c>
      <c r="C22" t="s">
        <v>39</v>
      </c>
      <c r="D22" s="12">
        <v>46086</v>
      </c>
      <c r="E22" s="13" t="s">
        <v>134</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5">
      <c r="B23" s="11">
        <f ca="1">Tasks[[#This Row],[Status Icon]]</f>
        <v>1</v>
      </c>
      <c r="C23" t="s">
        <v>40</v>
      </c>
      <c r="D23" s="12">
        <v>46086</v>
      </c>
      <c r="E23" s="13" t="s">
        <v>134</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5">
      <c r="B24" s="11">
        <f ca="1">Tasks[[#This Row],[Status Icon]]</f>
        <v>1</v>
      </c>
      <c r="C24" t="s">
        <v>41</v>
      </c>
      <c r="D24" s="12">
        <v>46086</v>
      </c>
      <c r="E24" s="13" t="s">
        <v>134</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5">
      <c r="B25" s="11">
        <f ca="1">Tasks[[#This Row],[Status Icon]]</f>
        <v>1</v>
      </c>
      <c r="C25" t="s">
        <v>42</v>
      </c>
      <c r="D25" s="12">
        <v>46086</v>
      </c>
      <c r="E25" s="13" t="s">
        <v>134</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3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5">
      <c r="B27" s="11">
        <f ca="1">Tasks[[#This Row],[Status Icon]]</f>
        <v>0</v>
      </c>
      <c r="C27" t="s">
        <v>22</v>
      </c>
      <c r="D27" s="12">
        <v>46093</v>
      </c>
      <c r="E27" s="13" t="s">
        <v>148</v>
      </c>
      <c r="F27" s="11">
        <f ca="1">IFERROR(IF(ISBLANK(Tasks[[#This Row],[Due Date]]),"",IF(Tasks[[#This Row],[Done?]]="Yes",1,IF(OR(Tasks[[#This Row],[Due Date]]&gt;PlanDueDate,Tasks[[#This Row],[Done?]]="No"),-1,IF(OR(OR(Tasks[[#This Row],[Due Date]]=TODAY(),Tasks[[#This Row],[Due Date]]=PlanDueDate),Tasks[[#This Row],[Done?]]="Pending"),0,"")))),"")</f>
        <v>0</v>
      </c>
      <c r="G27" s="30" t="s">
        <v>137</v>
      </c>
    </row>
    <row r="28" spans="2:7" ht="30" customHeight="1" x14ac:dyDescent="0.35">
      <c r="B28" s="11">
        <f ca="1">Tasks[[#This Row],[Status Icon]]</f>
        <v>0</v>
      </c>
      <c r="C28" t="s">
        <v>23</v>
      </c>
      <c r="D28" s="12">
        <v>46093</v>
      </c>
      <c r="E28" s="13" t="s">
        <v>148</v>
      </c>
      <c r="F28" s="11">
        <f ca="1">IFERROR(IF(ISBLANK(Tasks[[#This Row],[Due Date]]),"",IF(Tasks[[#This Row],[Done?]]="Yes",1,IF(OR(Tasks[[#This Row],[Due Date]]&gt;PlanDueDate,Tasks[[#This Row],[Done?]]="No"),-1,IF(OR(OR(Tasks[[#This Row],[Due Date]]=TODAY(),Tasks[[#This Row],[Due Date]]=PlanDueDate),Tasks[[#This Row],[Done?]]="Pending"),0,"")))),"")</f>
        <v>0</v>
      </c>
      <c r="G28" s="11" t="s">
        <v>140</v>
      </c>
    </row>
    <row r="29" spans="2:7" ht="30" customHeight="1" x14ac:dyDescent="0.3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5">
      <c r="B30" s="11">
        <f ca="1">Tasks[[#This Row],[Status Icon]]</f>
        <v>1</v>
      </c>
      <c r="C30" t="s">
        <v>24</v>
      </c>
      <c r="D30" s="12">
        <v>46093</v>
      </c>
      <c r="E30" s="13" t="s">
        <v>134</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2026-03-18T22:31:39Z</dcterms:modified>
  <cp:category/>
  <cp:contentStatus/>
</cp:coreProperties>
</file>