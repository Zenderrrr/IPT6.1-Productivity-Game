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cumentation\"/>
    </mc:Choice>
  </mc:AlternateContent>
  <xr:revisionPtr revIDLastSave="0" documentId="13_ncr:1_{060EAB0C-3766-420D-9221-E3A65524F7C3}" xr6:coauthVersionLast="47" xr6:coauthVersionMax="47" xr10:uidLastSave="{00000000-0000-0000-0000-000000000000}"/>
  <bookViews>
    <workbookView xWindow="-4785" yWindow="-21600" windowWidth="19410" windowHeight="20985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" l="1"/>
  <c r="B44" i="1" s="1"/>
  <c r="F45" i="1"/>
  <c r="B45" i="1" s="1"/>
  <c r="F46" i="1"/>
  <c r="B46" i="1" s="1"/>
  <c r="F47" i="1"/>
  <c r="B47" i="1" s="1"/>
  <c r="F48" i="1"/>
  <c r="B48" i="1" s="1"/>
  <c r="F49" i="1"/>
  <c r="B49" i="1" s="1"/>
  <c r="F50" i="1"/>
  <c r="B50" i="1" s="1"/>
  <c r="F51" i="1"/>
  <c r="B51" i="1" s="1"/>
  <c r="F52" i="1"/>
  <c r="B52" i="1" s="1"/>
  <c r="F53" i="1"/>
  <c r="B53" i="1" s="1"/>
  <c r="F54" i="1"/>
  <c r="B54" i="1" s="1"/>
  <c r="F55" i="1"/>
  <c r="B55" i="1" s="1"/>
  <c r="F56" i="1"/>
  <c r="B56" i="1" s="1"/>
  <c r="F57" i="1"/>
  <c r="B57" i="1" s="1"/>
  <c r="F58" i="1"/>
  <c r="B58" i="1" s="1"/>
  <c r="F59" i="1"/>
  <c r="B59" i="1" s="1"/>
  <c r="F60" i="1"/>
  <c r="B60" i="1" s="1"/>
  <c r="F61" i="1"/>
  <c r="B61" i="1" s="1"/>
  <c r="F62" i="1"/>
  <c r="B62" i="1" s="1"/>
  <c r="F63" i="1"/>
  <c r="B63" i="1" s="1"/>
  <c r="F64" i="1"/>
  <c r="B64" i="1" s="1"/>
  <c r="F65" i="1"/>
  <c r="B65" i="1" s="1"/>
  <c r="F66" i="1"/>
  <c r="B66" i="1" s="1"/>
  <c r="F67" i="1"/>
  <c r="B67" i="1" s="1"/>
  <c r="F68" i="1"/>
  <c r="B68" i="1" s="1"/>
  <c r="F69" i="1"/>
  <c r="B69" i="1" s="1"/>
  <c r="F70" i="1"/>
  <c r="B70" i="1" s="1"/>
  <c r="F71" i="1"/>
  <c r="B71" i="1" s="1"/>
  <c r="F72" i="1"/>
  <c r="B72" i="1" s="1"/>
  <c r="F73" i="1"/>
  <c r="B73" i="1" s="1"/>
  <c r="G44" i="1"/>
  <c r="F37" i="1"/>
  <c r="B37" i="1" s="1"/>
  <c r="F38" i="1"/>
  <c r="B38" i="1" s="1"/>
  <c r="F39" i="1"/>
  <c r="B39" i="1" s="1"/>
  <c r="F40" i="1"/>
  <c r="B40" i="1" s="1"/>
  <c r="F41" i="1"/>
  <c r="B41" i="1" s="1"/>
  <c r="F42" i="1"/>
  <c r="B42" i="1" s="1"/>
  <c r="F43" i="1"/>
  <c r="B43" i="1" s="1"/>
  <c r="F31" i="1"/>
  <c r="B31" i="1" s="1"/>
  <c r="F32" i="1"/>
  <c r="B32" i="1" s="1"/>
  <c r="F33" i="1"/>
  <c r="B33" i="1" s="1"/>
  <c r="F34" i="1"/>
  <c r="B34" i="1" s="1"/>
  <c r="F35" i="1"/>
  <c r="B35" i="1" s="1"/>
  <c r="F36" i="1"/>
  <c r="B36" i="1" s="1"/>
  <c r="F26" i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D9" i="1"/>
  <c r="D10" i="1"/>
  <c r="D8" i="1"/>
  <c r="F11" i="1" l="1"/>
  <c r="B11" i="1" s="1"/>
  <c r="F12" i="1"/>
  <c r="B12" i="1" s="1"/>
  <c r="F13" i="1"/>
  <c r="B13" i="1" s="1"/>
  <c r="F9" i="1" l="1"/>
  <c r="F10" i="1"/>
  <c r="F7" i="1"/>
  <c r="F8" i="1"/>
  <c r="B9" i="1" l="1"/>
  <c r="B8" i="1"/>
  <c r="B7" i="1"/>
  <c r="B10" i="1"/>
</calcChain>
</file>

<file path=xl/sharedStrings.xml><?xml version="1.0" encoding="utf-8"?>
<sst xmlns="http://schemas.openxmlformats.org/spreadsheetml/2006/main" count="86" uniqueCount="74">
  <si>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</si>
  <si>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</si>
  <si>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</si>
  <si>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</si>
  <si>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</si>
  <si>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</si>
  <si>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</si>
  <si>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</si>
  <si>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</si>
  <si>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</si>
  <si>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</si>
  <si>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</si>
  <si>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Pending</t>
  </si>
  <si>
    <t>Egor, Sanjivan</t>
  </si>
  <si>
    <t xml:space="preserve"> Project Due Date:</t>
  </si>
  <si>
    <t>Productivity-Game</t>
  </si>
  <si>
    <t>Phase 1.1: Projektdefinition</t>
  </si>
  <si>
    <t>Ziel der Anwendung schriftlich festhalten</t>
  </si>
  <si>
    <t>Funktionbeschreibung</t>
  </si>
  <si>
    <t>Tasksverwaltung</t>
  </si>
  <si>
    <t>Phase 1.2: Feature-Liste &amp; Use-Cases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</si>
  <si>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</si>
  <si>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</si>
  <si>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</si>
  <si>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</si>
  <si>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</si>
  <si>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Phase 1.3: Datenanalyse &amp; Modellierung</t>
  </si>
  <si>
    <t>Entitäten definieren</t>
  </si>
  <si>
    <t>ER-Modell erstellen</t>
  </si>
  <si>
    <t>Relationales Datenbankmodell erstellen</t>
  </si>
  <si>
    <t>Phase 1.4: OOP-Design</t>
  </si>
  <si>
    <t>Klassen definieren passend zur DB</t>
  </si>
  <si>
    <t>UML-Klassendiagramm erstellen</t>
  </si>
  <si>
    <t>Phase: 1.5: Programmablauf planen</t>
  </si>
  <si>
    <t>PAP erstellen (PapDesigner)</t>
  </si>
  <si>
    <t>Phase 2.1: Seitenstruktur</t>
  </si>
  <si>
    <t>Seiten festlegen</t>
  </si>
  <si>
    <t>Zwecks- und Funktionsdefinition</t>
  </si>
  <si>
    <t>Navigations bestimmen</t>
  </si>
  <si>
    <t>Benutzerabläufe festlegen</t>
  </si>
  <si>
    <t>Phase 2.2: Wireframes</t>
  </si>
  <si>
    <t>Wireframe-Tool auswählen</t>
  </si>
  <si>
    <t>Wireframes erstellen</t>
  </si>
  <si>
    <t>Wireframes exportieren und ablegen</t>
  </si>
  <si>
    <t>Mockup</t>
  </si>
  <si>
    <t>Farben, Typographie und Abstände definieren</t>
  </si>
  <si>
    <t>UI-Komponenten ausarbeiten</t>
  </si>
  <si>
    <t>Einheitliches Design festlegen</t>
  </si>
  <si>
    <t>Mockup exportieren und ablegen</t>
  </si>
  <si>
    <t>Entitäten festlegen</t>
  </si>
  <si>
    <t>attribute, datentypen, PK festlegen</t>
  </si>
  <si>
    <t>Beziehungen definieren</t>
  </si>
  <si>
    <t>Kardinalitäten bestimmen</t>
  </si>
  <si>
    <t>ER Diagramm erstellen</t>
  </si>
  <si>
    <t>Relationales Diagramm erstellen</t>
  </si>
  <si>
    <t>Diagramme ablegen</t>
  </si>
  <si>
    <t>Phase 2.4: Datenmodell (DB)</t>
  </si>
  <si>
    <t>Phase 2.3: Mockup-Erstellung</t>
  </si>
  <si>
    <t>Phase 3.1: Grundsetup</t>
  </si>
  <si>
    <t>SQLite Scripte erstellen (Create, Insert, Programmability)</t>
  </si>
  <si>
    <t>Ordnerstruktur für Services, Datenzugriff erstellen</t>
  </si>
  <si>
    <t>Backend-Projekt in C# erstellen</t>
  </si>
  <si>
    <t>SQLite als lokale Datenbank anbinden</t>
  </si>
  <si>
    <t>Zentrale Datenbankverbindung implementieren (Singleton-Pattern)</t>
  </si>
  <si>
    <t>Fehlerbehandlung für Datenbankzugriffe integrieren</t>
  </si>
  <si>
    <t>Phase 3.2: Authentifizierung</t>
  </si>
  <si>
    <t>Benutzer anlegen</t>
  </si>
  <si>
    <t>Benutzer eindeutig identifizieren</t>
  </si>
  <si>
    <t>Login-Logik implementieren</t>
  </si>
  <si>
    <t>Validierung von Benutzereingaben</t>
  </si>
  <si>
    <t>Phase 3.3: Task-Logik</t>
  </si>
  <si>
    <t>CRUD-Funktionalität für Tasks implementieren</t>
  </si>
  <si>
    <t>Task als „erledigt“ markieren</t>
  </si>
  <si>
    <t>Erledigte Tasks in der Datenbank protokollieren(TaskLog)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</si>
</sst>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7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2"/>
    </xf>
    <xf numFmtId="14" fontId="0" fillId="5" borderId="0" xfId="18" applyFont="1" applyFill="1">
      <alignment horizontal="right" vertical="center" indent="1"/>
    </xf>
    <xf numFmtId="0" fontId="0" fillId="5" borderId="0" xfId="9" applyFont="1" applyFill="1">
      <alignment horizontal="center" vertical="center" wrapText="1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11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0"/>
      <tableStyleElement type="headerRow" dxfId="9"/>
      <tableStyleElement type="firstColumn" dxfId="8"/>
      <tableStyleElement type="firstHeaderCell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292100</xdr:colOff>
      <xdr:row>0</xdr:row>
      <xdr:rowOff>425938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73" totalsRowShown="0">
  <autoFilter ref="B6:G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6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73"/>
  <sheetViews>
    <sheetView showGridLines="0" tabSelected="1" topLeftCell="A45" zoomScale="130" zoomScaleNormal="130" workbookViewId="0">
      <selection activeCell="F64" sqref="F64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33"/>
      <c r="C1" s="33"/>
    </row>
    <row r="2" spans="2:7" ht="33" customHeight="1" thickBot="1" x14ac:dyDescent="0.4">
      <c r="B2" s="34" t="s">
        <v>0</v>
      </c>
      <c r="C2" s="34"/>
      <c r="D2" s="1" t="s">
        <v>1</v>
      </c>
      <c r="E2" s="2" t="s">
        <v>15</v>
      </c>
      <c r="F2" s="1"/>
      <c r="G2" s="1"/>
    </row>
    <row r="3" spans="2:7" ht="33" customHeight="1" thickTop="1" thickBot="1" x14ac:dyDescent="0.4">
      <c r="B3" s="34"/>
      <c r="C3" s="34"/>
      <c r="D3" s="10" t="s">
        <v>14</v>
      </c>
      <c r="E3" s="5">
        <v>46185</v>
      </c>
      <c r="F3" s="1" t="s">
        <v>2</v>
      </c>
      <c r="G3" s="2" t="s">
        <v>13</v>
      </c>
    </row>
    <row r="4" spans="2:7" ht="28.5" customHeight="1" thickTop="1" x14ac:dyDescent="0.45">
      <c r="B4" s="35" t="s">
        <v>3</v>
      </c>
      <c r="C4" s="35"/>
      <c r="D4" s="35"/>
      <c r="E4" s="35" t="s">
        <v>4</v>
      </c>
      <c r="F4" s="35"/>
      <c r="G4" s="35"/>
    </row>
    <row r="5" spans="2:7" ht="75" customHeight="1" x14ac:dyDescent="0.35">
      <c r="B5" s="36"/>
      <c r="C5" s="36"/>
      <c r="D5" s="36"/>
      <c r="E5" s="36"/>
      <c r="F5" s="36"/>
      <c r="G5" s="36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16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26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0</v>
      </c>
      <c r="C8" t="s">
        <v>17</v>
      </c>
      <c r="D8" s="7">
        <f ca="1">TODAY()</f>
        <v>46063</v>
      </c>
      <c r="E8" s="4" t="s">
        <v>12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8" s="27"/>
    </row>
    <row r="9" spans="2:7" ht="30" customHeight="1" x14ac:dyDescent="0.35">
      <c r="B9" s="8">
        <f ca="1">Tasks[[#This Row],[Status Icon]]</f>
        <v>0</v>
      </c>
      <c r="C9" t="s">
        <v>18</v>
      </c>
      <c r="D9" s="7">
        <f ca="1">TODAY()</f>
        <v>46063</v>
      </c>
      <c r="E9" s="4" t="s">
        <v>12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9" s="27"/>
    </row>
    <row r="10" spans="2:7" ht="30" customHeight="1" x14ac:dyDescent="0.35">
      <c r="B10" s="8">
        <f ca="1">Tasks[[#This Row],[Status Icon]]</f>
        <v>0</v>
      </c>
      <c r="C10" t="s">
        <v>19</v>
      </c>
      <c r="D10" s="7">
        <f ca="1">TODAY()</f>
        <v>46063</v>
      </c>
      <c r="E10" s="4" t="s">
        <v>12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10" s="27"/>
    </row>
    <row r="11" spans="2:7" ht="30" customHeight="1" x14ac:dyDescent="0.35">
      <c r="B11" s="11" t="str">
        <f ca="1">Tasks[[#This Row],[Status Icon]]</f>
        <v/>
      </c>
      <c r="C11" s="18" t="s">
        <v>20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28"/>
    </row>
    <row r="12" spans="2:7" ht="30" customHeight="1" x14ac:dyDescent="0.35">
      <c r="B12" s="11">
        <f ca="1">Tasks[[#This Row],[Status Icon]]</f>
        <v>-1</v>
      </c>
      <c r="C12" t="s">
        <v>21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27"/>
    </row>
    <row r="13" spans="2:7" ht="30" customHeight="1" x14ac:dyDescent="0.35">
      <c r="B13" s="11">
        <f ca="1">Tasks[[#This Row],[Status Icon]]</f>
        <v>-1</v>
      </c>
      <c r="C13" t="s">
        <v>22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27"/>
    </row>
    <row r="14" spans="2:7" ht="30" customHeight="1" x14ac:dyDescent="0.35">
      <c r="B14" s="11">
        <f ca="1">Tasks[[#This Row],[Status Icon]]</f>
        <v>-1</v>
      </c>
      <c r="C14" t="s">
        <v>23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27"/>
    </row>
    <row r="15" spans="2:7" ht="30" customHeight="1" x14ac:dyDescent="0.35">
      <c r="B15" s="11">
        <f ca="1">Tasks[[#This Row],[Status Icon]]</f>
        <v>-1</v>
      </c>
      <c r="C15" t="s">
        <v>24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27"/>
    </row>
    <row r="16" spans="2:7" ht="30" customHeight="1" x14ac:dyDescent="0.35">
      <c r="B16" s="11">
        <f ca="1">Tasks[[#This Row],[Status Icon]]</f>
        <v>-1</v>
      </c>
      <c r="C16" t="s">
        <v>25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27"/>
    </row>
    <row r="17" spans="2:7" ht="30" customHeight="1" x14ac:dyDescent="0.35">
      <c r="B17" s="11" t="str">
        <f ca="1">Tasks[[#This Row],[Status Icon]]</f>
        <v/>
      </c>
      <c r="C17" s="22" t="s">
        <v>26</v>
      </c>
      <c r="D17" s="23"/>
      <c r="E17" s="24"/>
      <c r="F17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29"/>
    </row>
    <row r="18" spans="2:7" ht="30" customHeight="1" x14ac:dyDescent="0.35">
      <c r="B18" s="11">
        <f ca="1">Tasks[[#This Row],[Status Icon]]</f>
        <v>-1</v>
      </c>
      <c r="C18" t="s">
        <v>27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28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29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11"/>
    </row>
    <row r="21" spans="2:7" ht="30" customHeight="1" x14ac:dyDescent="0.35">
      <c r="B21" s="11" t="str">
        <f ca="1">Tasks[[#This Row],[Status Icon]]</f>
        <v/>
      </c>
      <c r="C21" s="22" t="s">
        <v>30</v>
      </c>
      <c r="D21" s="23"/>
      <c r="E21" s="24"/>
      <c r="F2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5"/>
    </row>
    <row r="22" spans="2:7" ht="30" customHeight="1" x14ac:dyDescent="0.35">
      <c r="B22" s="11">
        <f ca="1">Tasks[[#This Row],[Status Icon]]</f>
        <v>-1</v>
      </c>
      <c r="C22" t="s">
        <v>31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0"/>
    </row>
    <row r="23" spans="2:7" ht="30" customHeight="1" x14ac:dyDescent="0.35">
      <c r="B23" s="11">
        <f ca="1">Tasks[[#This Row],[Status Icon]]</f>
        <v>-1</v>
      </c>
      <c r="C23" t="s">
        <v>32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2" t="s">
        <v>33</v>
      </c>
      <c r="D24" s="23"/>
      <c r="E24" s="24"/>
      <c r="F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5"/>
    </row>
    <row r="25" spans="2:7" ht="30" customHeight="1" x14ac:dyDescent="0.35">
      <c r="B25" s="11">
        <f ca="1">Tasks[[#This Row],[Status Icon]]</f>
        <v>-1</v>
      </c>
      <c r="C25" t="s">
        <v>34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C26" s="14" t="s">
        <v>35</v>
      </c>
      <c r="D26" s="31"/>
      <c r="E26" s="32"/>
      <c r="F26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7"/>
    </row>
    <row r="27" spans="2:7" ht="30" customHeight="1" x14ac:dyDescent="0.35">
      <c r="B27" s="11" t="str">
        <f ca="1">Tasks[[#This Row],[Status Icon]]</f>
        <v/>
      </c>
      <c r="C27" t="s">
        <v>36</v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C28" t="s">
        <v>37</v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C29" t="s">
        <v>38</v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C30" t="s">
        <v>39</v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  <row r="31" spans="2:7" ht="30" customHeight="1" x14ac:dyDescent="0.35">
      <c r="B31" s="11" t="str">
        <f ca="1">Tasks[[#This Row],[Status Icon]]</f>
        <v/>
      </c>
      <c r="C31" s="14" t="s">
        <v>40</v>
      </c>
      <c r="D31" s="31"/>
      <c r="E31" s="32"/>
      <c r="F3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1" s="26"/>
    </row>
    <row r="32" spans="2:7" ht="30" customHeight="1" x14ac:dyDescent="0.35">
      <c r="B32" s="11" t="str">
        <f ca="1">Tasks[[#This Row],[Status Icon]]</f>
        <v/>
      </c>
      <c r="C32" t="s">
        <v>41</v>
      </c>
      <c r="D32" s="12"/>
      <c r="E32" s="13"/>
      <c r="F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2" s="27"/>
    </row>
    <row r="33" spans="2:7" ht="30" customHeight="1" x14ac:dyDescent="0.35">
      <c r="B33" s="11" t="str">
        <f ca="1">Tasks[[#This Row],[Status Icon]]</f>
        <v/>
      </c>
      <c r="C33" t="s">
        <v>42</v>
      </c>
      <c r="D33" s="12"/>
      <c r="E33" s="13"/>
      <c r="F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3" s="27"/>
    </row>
    <row r="34" spans="2:7" ht="30" customHeight="1" x14ac:dyDescent="0.35">
      <c r="B34" s="11" t="str">
        <f ca="1">Tasks[[#This Row],[Status Icon]]</f>
        <v/>
      </c>
      <c r="C34" t="s">
        <v>43</v>
      </c>
      <c r="D34" s="12"/>
      <c r="E34" s="13"/>
      <c r="F3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4" s="27"/>
    </row>
    <row r="35" spans="2:7" ht="30" customHeight="1" x14ac:dyDescent="0.35">
      <c r="B35" s="11" t="str">
        <f ca="1">Tasks[[#This Row],[Status Icon]]</f>
        <v/>
      </c>
      <c r="C35" s="14" t="s">
        <v>57</v>
      </c>
      <c r="D35" s="31"/>
      <c r="E35" s="32"/>
      <c r="F35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5" s="26"/>
    </row>
    <row r="36" spans="2:7" ht="30" customHeight="1" x14ac:dyDescent="0.35">
      <c r="B36" s="11" t="str">
        <f ca="1">Tasks[[#This Row],[Status Icon]]</f>
        <v/>
      </c>
      <c r="C36" t="s">
        <v>44</v>
      </c>
      <c r="D36" s="12"/>
      <c r="E36" s="13"/>
      <c r="F3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6" s="27"/>
    </row>
    <row r="37" spans="2:7" ht="30" customHeight="1" x14ac:dyDescent="0.35">
      <c r="B37" s="11" t="str">
        <f ca="1">Tasks[[#This Row],[Status Icon]]</f>
        <v/>
      </c>
      <c r="C37" t="s">
        <v>45</v>
      </c>
      <c r="D37" s="12"/>
      <c r="E37" s="13"/>
      <c r="F3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7" s="27"/>
    </row>
    <row r="38" spans="2:7" ht="30" customHeight="1" x14ac:dyDescent="0.35">
      <c r="B38" s="11" t="str">
        <f ca="1">Tasks[[#This Row],[Status Icon]]</f>
        <v/>
      </c>
      <c r="C38" t="s">
        <v>46</v>
      </c>
      <c r="D38" s="12"/>
      <c r="E38" s="13"/>
      <c r="F3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8" s="27"/>
    </row>
    <row r="39" spans="2:7" ht="30" customHeight="1" x14ac:dyDescent="0.35">
      <c r="B39" s="11" t="str">
        <f ca="1">Tasks[[#This Row],[Status Icon]]</f>
        <v/>
      </c>
      <c r="C39" t="s">
        <v>47</v>
      </c>
      <c r="D39" s="12"/>
      <c r="E39" s="13"/>
      <c r="F3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9" s="27"/>
    </row>
    <row r="40" spans="2:7" ht="30" customHeight="1" x14ac:dyDescent="0.35">
      <c r="B40" s="11" t="str">
        <f ca="1">Tasks[[#This Row],[Status Icon]]</f>
        <v/>
      </c>
      <c r="C40" t="s">
        <v>48</v>
      </c>
      <c r="D40" s="12"/>
      <c r="E40" s="13"/>
      <c r="F4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0" s="27"/>
    </row>
    <row r="41" spans="2:7" ht="30" customHeight="1" x14ac:dyDescent="0.35">
      <c r="B41" s="11" t="str">
        <f ca="1">Tasks[[#This Row],[Status Icon]]</f>
        <v/>
      </c>
      <c r="C41" s="14" t="s">
        <v>56</v>
      </c>
      <c r="D41" s="31"/>
      <c r="E41" s="32"/>
      <c r="F4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1" s="26"/>
    </row>
    <row r="42" spans="2:7" ht="30" customHeight="1" x14ac:dyDescent="0.35">
      <c r="B42" s="11" t="str">
        <f ca="1">Tasks[[#This Row],[Status Icon]]</f>
        <v/>
      </c>
      <c r="C42" t="s">
        <v>49</v>
      </c>
      <c r="D42" s="12"/>
      <c r="E42" s="13"/>
      <c r="F4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2" s="27"/>
    </row>
    <row r="43" spans="2:7" ht="30" customHeight="1" x14ac:dyDescent="0.35">
      <c r="B43" s="11" t="str">
        <f ca="1">Tasks[[#This Row],[Status Icon]]</f>
        <v/>
      </c>
      <c r="C43" t="s">
        <v>50</v>
      </c>
      <c r="D43" s="12"/>
      <c r="E43" s="13"/>
      <c r="F4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3" s="27"/>
    </row>
    <row r="44" spans="2:7" ht="30" customHeight="1" x14ac:dyDescent="0.35">
      <c r="B44" s="11" t="str">
        <f ca="1">Tasks[[#This Row],[Status Icon]]</f>
        <v/>
      </c>
      <c r="C44" t="s">
        <v>51</v>
      </c>
      <c r="D44" s="12"/>
      <c r="E44" s="13"/>
      <c r="F4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4" s="2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45" spans="2:7" ht="30" customHeight="1" x14ac:dyDescent="0.35">
      <c r="B45" s="11" t="str">
        <f ca="1">Tasks[[#This Row],[Status Icon]]</f>
        <v/>
      </c>
      <c r="C45" t="s">
        <v>52</v>
      </c>
      <c r="D45" s="12"/>
      <c r="E45" s="13"/>
      <c r="F4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5" s="27"/>
    </row>
    <row r="46" spans="2:7" ht="30" customHeight="1" x14ac:dyDescent="0.35">
      <c r="B46" s="11" t="str">
        <f ca="1">Tasks[[#This Row],[Status Icon]]</f>
        <v/>
      </c>
      <c r="C46" t="s">
        <v>53</v>
      </c>
      <c r="D46" s="12"/>
      <c r="E46" s="13"/>
      <c r="F4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6" s="27"/>
    </row>
    <row r="47" spans="2:7" ht="30" customHeight="1" x14ac:dyDescent="0.35">
      <c r="B47" s="11" t="str">
        <f ca="1">Tasks[[#This Row],[Status Icon]]</f>
        <v/>
      </c>
      <c r="C47" t="s">
        <v>54</v>
      </c>
      <c r="D47" s="12"/>
      <c r="E47" s="13"/>
      <c r="F4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7" s="27"/>
    </row>
    <row r="48" spans="2:7" ht="30" customHeight="1" x14ac:dyDescent="0.35">
      <c r="B48" s="11" t="str">
        <f ca="1">Tasks[[#This Row],[Status Icon]]</f>
        <v/>
      </c>
      <c r="C48" t="s">
        <v>55</v>
      </c>
      <c r="D48" s="12"/>
      <c r="E48" s="13"/>
      <c r="F4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8" s="27"/>
    </row>
    <row r="49" spans="2:7" ht="30" customHeight="1" x14ac:dyDescent="0.35">
      <c r="B49" s="11" t="str">
        <f ca="1">Tasks[[#This Row],[Status Icon]]</f>
        <v/>
      </c>
      <c r="C49" s="22" t="s">
        <v>58</v>
      </c>
      <c r="D49" s="23"/>
      <c r="E49" s="24"/>
      <c r="F49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9" s="29"/>
    </row>
    <row r="50" spans="2:7" ht="30" customHeight="1" x14ac:dyDescent="0.35">
      <c r="B50" s="11" t="str">
        <f ca="1">Tasks[[#This Row],[Status Icon]]</f>
        <v/>
      </c>
      <c r="C50" t="s">
        <v>59</v>
      </c>
      <c r="D50" s="12"/>
      <c r="E50" s="13"/>
      <c r="F5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0" s="27"/>
    </row>
    <row r="51" spans="2:7" ht="30" customHeight="1" x14ac:dyDescent="0.35">
      <c r="B51" s="11" t="str">
        <f ca="1">Tasks[[#This Row],[Status Icon]]</f>
        <v/>
      </c>
      <c r="C51" t="s">
        <v>60</v>
      </c>
      <c r="D51" s="12"/>
      <c r="E51" s="13"/>
      <c r="F5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1" s="27"/>
    </row>
    <row r="52" spans="2:7" ht="30" customHeight="1" x14ac:dyDescent="0.35">
      <c r="B52" s="11" t="str">
        <f ca="1">Tasks[[#This Row],[Status Icon]]</f>
        <v/>
      </c>
      <c r="C52" t="s">
        <v>61</v>
      </c>
      <c r="D52" s="12"/>
      <c r="E52" s="13"/>
      <c r="F5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2" s="27"/>
    </row>
    <row r="53" spans="2:7" ht="30" customHeight="1" x14ac:dyDescent="0.35">
      <c r="B53" s="11" t="str">
        <f ca="1">Tasks[[#This Row],[Status Icon]]</f>
        <v/>
      </c>
      <c r="C53" t="s">
        <v>62</v>
      </c>
      <c r="D53" s="12"/>
      <c r="E53" s="13"/>
      <c r="F5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3" s="27"/>
    </row>
    <row r="54" spans="2:7" ht="30" customHeight="1" x14ac:dyDescent="0.35">
      <c r="B54" s="11" t="str">
        <f ca="1">Tasks[[#This Row],[Status Icon]]</f>
        <v/>
      </c>
      <c r="C54" t="s">
        <v>63</v>
      </c>
      <c r="D54" s="12"/>
      <c r="E54" s="13"/>
      <c r="F5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4" s="27"/>
    </row>
    <row r="55" spans="2:7" ht="30" customHeight="1" x14ac:dyDescent="0.35">
      <c r="B55" s="11" t="str">
        <f ca="1">Tasks[[#This Row],[Status Icon]]</f>
        <v/>
      </c>
      <c r="C55" t="s">
        <v>64</v>
      </c>
      <c r="D55" s="12"/>
      <c r="E55" s="13"/>
      <c r="F5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5" s="27"/>
    </row>
    <row r="56" spans="2:7" ht="30" customHeight="1" x14ac:dyDescent="0.35">
      <c r="B56" s="11" t="str">
        <f ca="1">Tasks[[#This Row],[Status Icon]]</f>
        <v/>
      </c>
      <c r="C56" s="22" t="s">
        <v>65</v>
      </c>
      <c r="D56" s="23"/>
      <c r="E56" s="24"/>
      <c r="F5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6" s="29"/>
    </row>
    <row r="57" spans="2:7" ht="30" customHeight="1" x14ac:dyDescent="0.35">
      <c r="B57" s="11" t="str">
        <f ca="1">Tasks[[#This Row],[Status Icon]]</f>
        <v/>
      </c>
      <c r="C57" t="s">
        <v>66</v>
      </c>
      <c r="D57" s="12"/>
      <c r="E57" s="13"/>
      <c r="F5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7" s="27"/>
    </row>
    <row r="58" spans="2:7" ht="30" customHeight="1" x14ac:dyDescent="0.35">
      <c r="B58" s="11" t="str">
        <f ca="1">Tasks[[#This Row],[Status Icon]]</f>
        <v/>
      </c>
      <c r="C58" t="s">
        <v>67</v>
      </c>
      <c r="D58" s="12"/>
      <c r="E58" s="13"/>
      <c r="F5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8" s="27"/>
    </row>
    <row r="59" spans="2:7" ht="30" customHeight="1" x14ac:dyDescent="0.35">
      <c r="B59" s="11" t="str">
        <f ca="1">Tasks[[#This Row],[Status Icon]]</f>
        <v/>
      </c>
      <c r="C59" t="s">
        <v>68</v>
      </c>
      <c r="D59" s="12"/>
      <c r="E59" s="13"/>
      <c r="F5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9" s="27"/>
    </row>
    <row r="60" spans="2:7" ht="30" customHeight="1" x14ac:dyDescent="0.35">
      <c r="B60" s="11" t="str">
        <f ca="1">Tasks[[#This Row],[Status Icon]]</f>
        <v/>
      </c>
      <c r="C60" t="s">
        <v>69</v>
      </c>
      <c r="D60" s="12"/>
      <c r="E60" s="13"/>
      <c r="F6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0" s="27"/>
    </row>
    <row r="61" spans="2:7" ht="30" customHeight="1" x14ac:dyDescent="0.35">
      <c r="B61" s="11" t="str">
        <f ca="1">Tasks[[#This Row],[Status Icon]]</f>
        <v/>
      </c>
      <c r="C61" s="22" t="s">
        <v>70</v>
      </c>
      <c r="D61" s="23"/>
      <c r="E61" s="24"/>
      <c r="F6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1" s="29"/>
    </row>
    <row r="62" spans="2:7" ht="30" customHeight="1" x14ac:dyDescent="0.35">
      <c r="B62" s="11" t="str">
        <f ca="1">Tasks[[#This Row],[Status Icon]]</f>
        <v/>
      </c>
      <c r="C62" t="s">
        <v>71</v>
      </c>
      <c r="D62" s="12"/>
      <c r="E62" s="13"/>
      <c r="F6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2" s="27"/>
    </row>
    <row r="63" spans="2:7" ht="30" customHeight="1" x14ac:dyDescent="0.35">
      <c r="B63" s="11" t="str">
        <f ca="1">Tasks[[#This Row],[Status Icon]]</f>
        <v/>
      </c>
      <c r="C63" t="s">
        <v>72</v>
      </c>
      <c r="D63" s="12"/>
      <c r="E63" s="13"/>
      <c r="F6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3" s="27"/>
    </row>
    <row r="64" spans="2:7" ht="30" customHeight="1" x14ac:dyDescent="0.35">
      <c r="B64" s="11" t="str">
        <f ca="1">Tasks[[#This Row],[Status Icon]]</f>
        <v/>
      </c>
      <c r="C64" t="s">
        <v>73</v>
      </c>
      <c r="D64" s="12"/>
      <c r="E64" s="13"/>
      <c r="F6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4" s="27"/>
    </row>
    <row r="65" spans="2:7" ht="30" customHeight="1" x14ac:dyDescent="0.35">
      <c r="B65" s="11" t="str">
        <f ca="1">Tasks[[#This Row],[Status Icon]]</f>
        <v/>
      </c>
      <c r="D65" s="12"/>
      <c r="E65" s="13"/>
      <c r="F6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5" s="27"/>
    </row>
    <row r="66" spans="2:7" ht="30" customHeight="1" x14ac:dyDescent="0.35">
      <c r="B66" s="11" t="str">
        <f ca="1">Tasks[[#This Row],[Status Icon]]</f>
        <v/>
      </c>
      <c r="D66" s="12"/>
      <c r="E66" s="13"/>
      <c r="F6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6" s="27"/>
    </row>
    <row r="67" spans="2:7" ht="30" customHeight="1" x14ac:dyDescent="0.35">
      <c r="B67" s="11" t="str">
        <f ca="1">Tasks[[#This Row],[Status Icon]]</f>
        <v/>
      </c>
      <c r="D67" s="12"/>
      <c r="E67" s="13"/>
      <c r="F6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7" s="27"/>
    </row>
    <row r="68" spans="2:7" ht="30" customHeight="1" x14ac:dyDescent="0.35">
      <c r="B68" s="11" t="str">
        <f ca="1">Tasks[[#This Row],[Status Icon]]</f>
        <v/>
      </c>
      <c r="D68" s="12"/>
      <c r="E68" s="13"/>
      <c r="F6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8" s="27"/>
    </row>
    <row r="69" spans="2:7" ht="30" customHeight="1" x14ac:dyDescent="0.35">
      <c r="B69" s="11" t="str">
        <f ca="1">Tasks[[#This Row],[Status Icon]]</f>
        <v/>
      </c>
      <c r="D69" s="12"/>
      <c r="E69" s="13"/>
      <c r="F6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9" s="27"/>
    </row>
    <row r="70" spans="2:7" ht="30" customHeight="1" x14ac:dyDescent="0.35">
      <c r="B70" s="11" t="str">
        <f ca="1">Tasks[[#This Row],[Status Icon]]</f>
        <v/>
      </c>
      <c r="D70" s="12"/>
      <c r="E70" s="13"/>
      <c r="F7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0" s="27"/>
    </row>
    <row r="71" spans="2:7" ht="30" customHeight="1" x14ac:dyDescent="0.35">
      <c r="B71" s="11" t="str">
        <f ca="1">Tasks[[#This Row],[Status Icon]]</f>
        <v/>
      </c>
      <c r="D71" s="12"/>
      <c r="E71" s="13"/>
      <c r="F7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1" s="27"/>
    </row>
    <row r="72" spans="2:7" ht="30" customHeight="1" x14ac:dyDescent="0.35">
      <c r="B72" s="11" t="str">
        <f ca="1">Tasks[[#This Row],[Status Icon]]</f>
        <v/>
      </c>
      <c r="D72" s="12"/>
      <c r="E72" s="13"/>
      <c r="F7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2" s="27"/>
    </row>
    <row r="73" spans="2:7" ht="30" customHeight="1" x14ac:dyDescent="0.35">
      <c r="B73" s="11" t="str">
        <f ca="1">Tasks[[#This Row],[Status Icon]]</f>
        <v/>
      </c>
      <c r="D73" s="12"/>
      <c r="E73" s="13"/>
      <c r="F7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3" s="27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73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73">
    <cfRule type="expression" dxfId="5" priority="5">
      <formula>F7=1</formula>
    </cfRule>
    <cfRule type="expression" dxfId="4" priority="6">
      <formula>F7=0</formula>
    </cfRule>
    <cfRule type="expression" dxfId="3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2" priority="1">
      <formula>G18=1</formula>
    </cfRule>
    <cfRule type="expression" dxfId="1" priority="2">
      <formula>G18=0</formula>
    </cfRule>
    <cfRule type="expression" dxfId="0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73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2026-02-10T15:59:25Z</dcterms:modified>
  <cp:category/>
  <cp:contentStatus/>
</cp:coreProperties>
</file>