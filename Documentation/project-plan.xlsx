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cumentation\"/>
    </mc:Choice>
  </mc:AlternateContent>
  <xr:revisionPtr revIDLastSave="0" documentId="13_ncr:1_{730F034B-A1FA-4D0D-A935-DB2DA7648D13}" xr6:coauthVersionLast="47" xr6:coauthVersionMax="47" xr10:uidLastSave="{00000000-0000-0000-0000-000000000000}"/>
  <bookViews>
    <workbookView xWindow="-4785" yWindow="-21600" windowWidth="1941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B116" i="1" s="1"/>
  <c r="F117" i="1"/>
  <c r="B117" i="1" s="1"/>
  <c r="F118" i="1"/>
  <c r="B118" i="1" s="1"/>
  <c r="F119" i="1"/>
  <c r="B119" i="1" s="1"/>
  <c r="F120" i="1"/>
  <c r="B120" i="1" s="1"/>
  <c r="F121" i="1"/>
  <c r="B121" i="1" s="1"/>
  <c r="F122" i="1"/>
  <c r="B122" i="1" s="1"/>
  <c r="F123" i="1"/>
  <c r="B123" i="1" s="1"/>
  <c r="F124" i="1"/>
  <c r="B124" i="1" s="1"/>
  <c r="F125" i="1"/>
  <c r="B125" i="1" s="1"/>
  <c r="F126" i="1"/>
  <c r="B126" i="1" s="1"/>
  <c r="F127" i="1"/>
  <c r="B127" i="1" s="1"/>
  <c r="F128" i="1"/>
  <c r="B128" i="1" s="1"/>
  <c r="F129" i="1"/>
  <c r="B129" i="1" s="1"/>
  <c r="F130" i="1"/>
  <c r="B130" i="1" s="1"/>
  <c r="F131" i="1"/>
  <c r="B131" i="1" s="1"/>
  <c r="F132" i="1"/>
  <c r="B132" i="1" s="1"/>
  <c r="F133" i="1"/>
  <c r="B133" i="1" s="1"/>
  <c r="F102" i="1"/>
  <c r="B102" i="1" s="1"/>
  <c r="F103" i="1"/>
  <c r="B103" i="1" s="1"/>
  <c r="F104" i="1"/>
  <c r="B104" i="1" s="1"/>
  <c r="F105" i="1"/>
  <c r="B105" i="1" s="1"/>
  <c r="F106" i="1"/>
  <c r="B106" i="1" s="1"/>
  <c r="F107" i="1"/>
  <c r="B107" i="1" s="1"/>
  <c r="F108" i="1"/>
  <c r="B108" i="1" s="1"/>
  <c r="F109" i="1"/>
  <c r="B109" i="1" s="1"/>
  <c r="F110" i="1"/>
  <c r="B110" i="1" s="1"/>
  <c r="F111" i="1"/>
  <c r="B111" i="1" s="1"/>
  <c r="F112" i="1"/>
  <c r="B112" i="1" s="1"/>
  <c r="F113" i="1"/>
  <c r="B113" i="1" s="1"/>
  <c r="F114" i="1"/>
  <c r="B114" i="1" s="1"/>
  <c r="F115" i="1"/>
  <c r="B115" i="1" s="1"/>
  <c r="D8" i="1"/>
  <c r="F8" i="1" s="1"/>
  <c r="F101" i="1"/>
  <c r="B101" i="1" s="1"/>
  <c r="F100" i="1"/>
  <c r="B100" i="1" s="1"/>
  <c r="F99" i="1"/>
  <c r="B99" i="1" s="1"/>
  <c r="F98" i="1"/>
  <c r="B98" i="1" s="1"/>
  <c r="F97" i="1"/>
  <c r="B97" i="1" s="1"/>
  <c r="F96" i="1"/>
  <c r="B96" i="1" s="1"/>
  <c r="F95" i="1"/>
  <c r="B95" i="1" s="1"/>
  <c r="F94" i="1"/>
  <c r="B94" i="1" s="1"/>
  <c r="F93" i="1"/>
  <c r="B93" i="1" s="1"/>
  <c r="F92" i="1"/>
  <c r="B92" i="1" s="1"/>
  <c r="F91" i="1"/>
  <c r="B91" i="1" s="1"/>
  <c r="F90" i="1"/>
  <c r="B90" i="1" s="1"/>
  <c r="F89" i="1"/>
  <c r="B89" i="1" s="1"/>
  <c r="F88" i="1"/>
  <c r="B88" i="1" s="1"/>
  <c r="F87" i="1"/>
  <c r="B87" i="1" s="1"/>
  <c r="F86" i="1"/>
  <c r="B86" i="1" s="1"/>
  <c r="F85" i="1"/>
  <c r="B85" i="1" s="1"/>
  <c r="F84" i="1"/>
  <c r="B84" i="1" s="1"/>
  <c r="F83" i="1"/>
  <c r="B83" i="1" s="1"/>
  <c r="F82" i="1"/>
  <c r="B82" i="1" s="1"/>
  <c r="F81" i="1"/>
  <c r="B81" i="1" s="1"/>
  <c r="F80" i="1"/>
  <c r="B80" i="1" s="1"/>
  <c r="F79" i="1"/>
  <c r="B79" i="1" s="1"/>
  <c r="F78" i="1"/>
  <c r="B78" i="1" s="1"/>
  <c r="F77" i="1"/>
  <c r="B77" i="1" s="1"/>
  <c r="F76" i="1"/>
  <c r="B76" i="1" s="1"/>
  <c r="F75" i="1"/>
  <c r="B75" i="1" s="1"/>
  <c r="F74" i="1"/>
  <c r="B74" i="1" s="1"/>
  <c r="F44" i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F11" i="1" l="1"/>
  <c r="B11" i="1" s="1"/>
  <c r="F12" i="1"/>
  <c r="B12" i="1" s="1"/>
  <c r="F13" i="1"/>
  <c r="B13" i="1" s="1"/>
  <c r="F9" i="1" l="1"/>
  <c r="F10" i="1"/>
  <c r="F7" i="1"/>
  <c r="B9" i="1" l="1"/>
  <c r="B8" i="1"/>
  <c r="B7" i="1"/>
  <c r="B10" i="1"/>
</calcChain>
</file>

<file path=xl/sharedStrings.xml><?xml version="1.0" encoding="utf-8"?>
<sst xmlns="http://schemas.openxmlformats.org/spreadsheetml/2006/main" count="140" uniqueCount="128">
  <si>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</si>
  <si>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</si>
  <si>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</si>
  <si>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</si>
  <si>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</si>
  <si>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</si>
  <si>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</si>
  <si>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</si>
  <si>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</si>
  <si>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</si>
  <si>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</si>
  <si>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</si>
  <si>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</si>
  <si>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</si>
  <si>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</si>
  <si>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</si>
  <si>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Ziel der Anwendung schriftlich festhalten</t>
  </si>
  <si>
    <t>Funktionbeschreibung</t>
  </si>
  <si>
    <t>Tasksverwaltung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</si>
  <si>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</si>
  <si>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</si>
  <si>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</si>
  <si>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</si>
  <si>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</si>
  <si>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Entitäten definieren</t>
  </si>
  <si>
    <t>ER-Modell erstellen</t>
  </si>
  <si>
    <t>Relationales Datenbankmodell erstellen</t>
  </si>
  <si>
    <t>Klassen definieren passend zur DB</t>
  </si>
  <si>
    <t>UML-Klassendiagramm erstellen</t>
  </si>
  <si>
    <t>PAP erstellen (PapDesigner)</t>
  </si>
  <si>
    <t>Seiten festlegen</t>
  </si>
  <si>
    <t>Zwecks- und Funktionsdefinition</t>
  </si>
  <si>
    <t>Navigations bestimmen</t>
  </si>
  <si>
    <t>Benutzerabläufe festlegen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</si>
  <si>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</si>
  <si>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</si>
  <si>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</si>
  <si>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</si>
  <si>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</si>
  <si>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</si>
  <si>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</si>
  <si>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</si>
  <si>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</si>
  <si>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</si>
  <si>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</si>
  <si>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</si>
  <si>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</si>
  <si>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</si>
  <si>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</si>
  <si>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SQLite Scripte erstellen (Create, Insert, Programmability)</t>
  </si>
  <si>
    <t>Ordnerstruktur für Services, Datenzugriff erstellen</t>
  </si>
  <si>
    <t>Backend-Projekt in C# erstellen</t>
  </si>
  <si>
    <t>SQLite als lokale Datenbank anbinden</t>
  </si>
  <si>
    <t>Zentrale Datenbankverbindung implementieren (Singleton-Pattern)</t>
  </si>
  <si>
    <t>Fehlerbehandlung für Datenbankzugriffe integrieren</t>
  </si>
  <si>
    <t>Benutzer anlegen</t>
  </si>
  <si>
    <t>Benutzer eindeutig identifizieren</t>
  </si>
  <si>
    <t>Login-Logik implementieren</t>
  </si>
  <si>
    <t>Validierung von Benutzereingaben</t>
  </si>
  <si>
    <t>CRUD-Funktionalität für Tasks implementieren</t>
  </si>
  <si>
    <t>Task als „erledigt“ markieren</t>
  </si>
  <si>
    <t>Erledigte Tasks in der Datenbank protokollieren(TaskLog)</t>
  </si>
  <si>
    <t>XP-Regeln festlegen (Formel/Faktoren)</t>
  </si>
  <si>
    <t>XP-Berechnung implementieren</t>
  </si>
  <si>
    <t>XP als Event in der DB speichern (XPEvent)</t>
  </si>
  <si>
    <t>Gesamt-XP pro User berechnen/abrufend</t>
  </si>
  <si>
    <t>Level Grenzen definieren</t>
  </si>
  <si>
    <t>Aktuelles Level aus Gesamt-XP berechnen</t>
  </si>
  <si>
    <t>Level-Up erkennen</t>
  </si>
  <si>
    <t>Level-Stand speichern</t>
  </si>
  <si>
    <t>Belohnungen vorbereiten (Badges usw.)</t>
  </si>
  <si>
    <t>Regeln definieren</t>
  </si>
  <si>
    <t>Streak aktualisieren bei Task-Abschluss</t>
  </si>
  <si>
    <t>Reset Logik implementieren</t>
  </si>
  <si>
    <t>Streak Status speichern</t>
  </si>
  <si>
    <t>Vue Projekt erstellen</t>
  </si>
  <si>
    <t>Grundlayout umsetzen (Navbar, Footer)</t>
  </si>
  <si>
    <t>Routing/ Navigation zwischen Seiten implementieren</t>
  </si>
  <si>
    <t>Einheitliche UI/UX Elemente und Styles definieren</t>
  </si>
  <si>
    <t>5.2 Task UI</t>
  </si>
  <si>
    <t>Task Liste anzeigen</t>
  </si>
  <si>
    <t>Task erstellen Formular (Titel, Schwierigkeit, Dauer, Kategorie)</t>
  </si>
  <si>
    <t>Task bearbeiten / löschen</t>
  </si>
  <si>
    <t>Task als erledigt markieren</t>
  </si>
  <si>
    <t>Validierung implementieren (Feedback vom backend)</t>
  </si>
  <si>
    <t>UI aktualisieren nach DB änderung (Refresh/Reload)</t>
  </si>
  <si>
    <t>5.3 Gamification UI</t>
  </si>
  <si>
    <t>XP anzeigen</t>
  </si>
  <si>
    <t>Level anzeigen</t>
  </si>
  <si>
    <t>Streak anzeigen</t>
  </si>
  <si>
    <t>Nach erledigter Task Feedback zurückgeben</t>
  </si>
  <si>
    <t>Phase 1: Planung &amp; Vorbereitung                        1.1: Projektdefinition</t>
  </si>
  <si>
    <t>1.2: Feature-Liste &amp; Use-Cases</t>
  </si>
  <si>
    <t>1.3: Datenanalyse &amp; Modellierung</t>
  </si>
  <si>
    <t>1.4: OOP-Design</t>
  </si>
  <si>
    <t>1.5: Programmablauf planen</t>
  </si>
  <si>
    <t>Phase 2: UX/UI &amp; Struktur                                        2.1: Seitenstruktur</t>
  </si>
  <si>
    <t>2.2: Wireframes</t>
  </si>
  <si>
    <t>2.3: Mockup-Erstellung</t>
  </si>
  <si>
    <t>2.4: Datenmodell (DB)</t>
  </si>
  <si>
    <t>3.2: Authentifizierung</t>
  </si>
  <si>
    <t>3.3: Task-Logik</t>
  </si>
  <si>
    <t>Phase 4: Gamification-Logik                                   4.1: XP-System</t>
  </si>
  <si>
    <t>Phase 3: Backend/DB - Basis                                   3.1: Grundsetup</t>
  </si>
  <si>
    <t>4.2: Level System</t>
  </si>
  <si>
    <t>4.3: Streaks</t>
  </si>
  <si>
    <t>Phase 5: Frontend – Kernfunktionen                  5.1: Grundlayout</t>
  </si>
  <si>
    <t>Phase 6: Dashboard &amp; Statistiken                          6.1 Dashboard</t>
  </si>
  <si>
    <t>Festlegen welche Informationen angezeigt werden sollen</t>
  </si>
  <si>
    <t>Zentrales Dashboard umsetzen</t>
  </si>
  <si>
    <t>Kurze Zusammenfassung der letzten Aktivitäten</t>
  </si>
  <si>
    <t>Schneller Zugriff auf wichtige Funktionen/Aktionen</t>
  </si>
  <si>
    <t>6.2 Diagramme</t>
  </si>
  <si>
    <t>Produktivitätsdiagramme anzeigen</t>
  </si>
  <si>
    <t>Zeitraum-Filter implementieren</t>
  </si>
  <si>
    <t>Daten aus der Datenbank leiten</t>
  </si>
  <si>
    <t>Diagramme übersichtlich und verständlich darstellen</t>
  </si>
  <si>
    <t>6.3 Heatmaps (optional)</t>
  </si>
  <si>
    <t>Produktive Zeiten visualisieren</t>
  </si>
  <si>
    <t>Erledigte Tasks zeitlich auswerten</t>
  </si>
  <si>
    <t>Phase 7: Erweiterungen                                            7.1 Motivation</t>
  </si>
  <si>
    <t>Badges definieren</t>
  </si>
  <si>
    <t>Badge-Freischaltung implementieren</t>
  </si>
  <si>
    <t>Badges im Profil anzeigen</t>
  </si>
  <si>
    <t>Optionale Themes/Design-Varianten vorbereiten</t>
  </si>
  <si>
    <t>7.2 Analyse</t>
  </si>
  <si>
    <t>Erweiterte Trendanalysen implementieren</t>
  </si>
  <si>
    <t>Regeln zur Reflexion implementieren (Benutzer Feedback)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</si>
</sst>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4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3"/>
      <tableStyleElement type="headerRow" dxfId="12"/>
      <tableStyleElement type="firstColumn" dxfId="11"/>
      <tableStyleElement type="firstHeaderCell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292100</xdr:colOff>
      <xdr:row>1</xdr:row>
      <xdr:rowOff>114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133" totalsRowShown="0">
  <autoFilter ref="B6:G13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9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133"/>
  <sheetViews>
    <sheetView showGridLines="0" tabSelected="1" topLeftCell="A105" zoomScaleNormal="100" workbookViewId="0">
      <selection activeCell="E119" sqref="E119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3"/>
      <c r="C1" s="33"/>
    </row>
    <row r="2" spans="2:7" ht="33" customHeight="1" thickBot="1" x14ac:dyDescent="0.4">
      <c r="B2" s="34" t="s">
        <v>0</v>
      </c>
      <c r="C2" s="34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34"/>
      <c r="C3" s="34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35" t="s">
        <v>3</v>
      </c>
      <c r="C4" s="35"/>
      <c r="D4" s="35"/>
      <c r="E4" s="35" t="s">
        <v>4</v>
      </c>
      <c r="F4" s="35"/>
      <c r="G4" s="35"/>
    </row>
    <row r="5" spans="2:7" ht="75" customHeight="1" x14ac:dyDescent="0.35">
      <c r="B5" s="36"/>
      <c r="C5" s="36"/>
      <c r="D5" s="36"/>
      <c r="E5" s="36"/>
      <c r="F5" s="36"/>
      <c r="G5" s="36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91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16</v>
      </c>
      <c r="D8" s="7">
        <f ca="1">TODAY()</f>
        <v>46063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27"/>
    </row>
    <row r="9" spans="2:7" ht="30" customHeight="1" x14ac:dyDescent="0.35">
      <c r="B9" s="8">
        <f ca="1">Tasks[[#This Row],[Status Icon]]</f>
        <v>0</v>
      </c>
      <c r="C9" t="s">
        <v>17</v>
      </c>
      <c r="D9" s="7">
        <f ca="1">TODAY()</f>
        <v>46063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27"/>
    </row>
    <row r="10" spans="2:7" ht="30" customHeight="1" x14ac:dyDescent="0.35">
      <c r="B10" s="8">
        <f ca="1">Tasks[[#This Row],[Status Icon]]</f>
        <v>0</v>
      </c>
      <c r="C10" t="s">
        <v>18</v>
      </c>
      <c r="D10" s="7">
        <f ca="1">TODAY()</f>
        <v>46063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92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19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20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21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22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23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93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24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25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26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94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27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28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95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29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96</v>
      </c>
      <c r="D26" s="31"/>
      <c r="E26" s="32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30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31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32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33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97</v>
      </c>
      <c r="D31" s="31"/>
      <c r="E31" s="32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34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35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36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98</v>
      </c>
      <c r="D35" s="31"/>
      <c r="E35" s="32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37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38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39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40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41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99</v>
      </c>
      <c r="D41" s="31"/>
      <c r="E41" s="32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42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43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44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45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46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47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48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C49" s="22" t="s">
        <v>103</v>
      </c>
      <c r="D49" s="23"/>
      <c r="E49" s="24"/>
      <c r="F4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9"/>
    </row>
    <row r="50" spans="2:7" ht="30" customHeight="1" x14ac:dyDescent="0.35">
      <c r="B50" s="11" t="str">
        <f ca="1">Tasks[[#This Row],[Status Icon]]</f>
        <v/>
      </c>
      <c r="C50" t="s">
        <v>49</v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C51" t="s">
        <v>50</v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C52" t="s">
        <v>51</v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C53" t="s">
        <v>52</v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C54" t="s">
        <v>53</v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C55" t="s">
        <v>54</v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C56" s="22" t="s">
        <v>100</v>
      </c>
      <c r="D56" s="23"/>
      <c r="E56" s="24"/>
      <c r="F5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9"/>
    </row>
    <row r="57" spans="2:7" ht="30" customHeight="1" x14ac:dyDescent="0.35">
      <c r="B57" s="11" t="str">
        <f ca="1">Tasks[[#This Row],[Status Icon]]</f>
        <v/>
      </c>
      <c r="C57" t="s">
        <v>55</v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C58" t="s">
        <v>56</v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C59" t="s">
        <v>57</v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C60" t="s">
        <v>58</v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C61" s="22" t="s">
        <v>101</v>
      </c>
      <c r="D61" s="23"/>
      <c r="E61" s="24"/>
      <c r="F6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9"/>
    </row>
    <row r="62" spans="2:7" ht="30" customHeight="1" x14ac:dyDescent="0.35">
      <c r="B62" s="11" t="str">
        <f ca="1">Tasks[[#This Row],[Status Icon]]</f>
        <v/>
      </c>
      <c r="C62" t="s">
        <v>59</v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C63" t="s">
        <v>60</v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C64" t="s">
        <v>61</v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C65" s="22" t="s">
        <v>102</v>
      </c>
      <c r="D65" s="23"/>
      <c r="E65" s="24"/>
      <c r="F65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9"/>
    </row>
    <row r="66" spans="2:7" ht="30" customHeight="1" x14ac:dyDescent="0.35">
      <c r="B66" s="11" t="str">
        <f ca="1">Tasks[[#This Row],[Status Icon]]</f>
        <v/>
      </c>
      <c r="C66" t="s">
        <v>62</v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C67" t="s">
        <v>63</v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C68" t="s">
        <v>64</v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C69" t="s">
        <v>65</v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C70" s="22" t="s">
        <v>104</v>
      </c>
      <c r="D70" s="23"/>
      <c r="E70" s="24"/>
      <c r="F70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9"/>
    </row>
    <row r="71" spans="2:7" ht="30" customHeight="1" x14ac:dyDescent="0.35">
      <c r="B71" s="11" t="str">
        <f ca="1">Tasks[[#This Row],[Status Icon]]</f>
        <v/>
      </c>
      <c r="C71" t="s">
        <v>66</v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C72" t="s">
        <v>67</v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C73" t="s">
        <v>68</v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  <row r="74" spans="2:7" ht="30" customHeight="1" x14ac:dyDescent="0.35">
      <c r="B74" s="11" t="str">
        <f ca="1">Tasks[[#This Row],[Status Icon]]</f>
        <v/>
      </c>
      <c r="C74" t="s">
        <v>69</v>
      </c>
      <c r="D74" s="12"/>
      <c r="E74" s="13"/>
      <c r="F7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4" s="27"/>
    </row>
    <row r="75" spans="2:7" ht="30" customHeight="1" x14ac:dyDescent="0.35">
      <c r="B75" s="11" t="str">
        <f ca="1">Tasks[[#This Row],[Status Icon]]</f>
        <v/>
      </c>
      <c r="C75" t="s">
        <v>70</v>
      </c>
      <c r="D75" s="12"/>
      <c r="E75" s="13"/>
      <c r="F7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5" s="27"/>
    </row>
    <row r="76" spans="2:7" ht="30" customHeight="1" x14ac:dyDescent="0.35">
      <c r="B76" s="11" t="str">
        <f ca="1">Tasks[[#This Row],[Status Icon]]</f>
        <v/>
      </c>
      <c r="C76" s="22" t="s">
        <v>105</v>
      </c>
      <c r="D76" s="23"/>
      <c r="E76" s="24"/>
      <c r="F7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6" s="29"/>
    </row>
    <row r="77" spans="2:7" ht="30" customHeight="1" x14ac:dyDescent="0.35">
      <c r="B77" s="11" t="str">
        <f ca="1">Tasks[[#This Row],[Status Icon]]</f>
        <v/>
      </c>
      <c r="C77" t="s">
        <v>71</v>
      </c>
      <c r="D77" s="12"/>
      <c r="E77" s="13"/>
      <c r="F7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7" s="27"/>
    </row>
    <row r="78" spans="2:7" ht="30" customHeight="1" x14ac:dyDescent="0.35">
      <c r="B78" s="11" t="str">
        <f ca="1">Tasks[[#This Row],[Status Icon]]</f>
        <v/>
      </c>
      <c r="C78" t="s">
        <v>72</v>
      </c>
      <c r="D78" s="12"/>
      <c r="E78" s="13"/>
      <c r="F7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8" s="27"/>
    </row>
    <row r="79" spans="2:7" ht="30" customHeight="1" x14ac:dyDescent="0.35">
      <c r="B79" s="11" t="str">
        <f ca="1">Tasks[[#This Row],[Status Icon]]</f>
        <v/>
      </c>
      <c r="C79" t="s">
        <v>73</v>
      </c>
      <c r="D79" s="12"/>
      <c r="E79" s="13"/>
      <c r="F7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9" s="27"/>
    </row>
    <row r="80" spans="2:7" ht="30" customHeight="1" x14ac:dyDescent="0.35">
      <c r="B80" s="11" t="str">
        <f ca="1">Tasks[[#This Row],[Status Icon]]</f>
        <v/>
      </c>
      <c r="C80" t="s">
        <v>74</v>
      </c>
      <c r="D80" s="12"/>
      <c r="E80" s="13"/>
      <c r="F8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0" s="27"/>
    </row>
    <row r="81" spans="2:7" ht="30" customHeight="1" x14ac:dyDescent="0.35">
      <c r="B81" s="11" t="str">
        <f ca="1">Tasks[[#This Row],[Status Icon]]</f>
        <v/>
      </c>
      <c r="C81" s="22" t="s">
        <v>106</v>
      </c>
      <c r="D81" s="23"/>
      <c r="E81" s="24"/>
      <c r="F8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1" s="29"/>
    </row>
    <row r="82" spans="2:7" ht="30" customHeight="1" x14ac:dyDescent="0.35">
      <c r="B82" s="11" t="str">
        <f ca="1">Tasks[[#This Row],[Status Icon]]</f>
        <v/>
      </c>
      <c r="C82" t="s">
        <v>75</v>
      </c>
      <c r="D82" s="12"/>
      <c r="E82" s="13"/>
      <c r="F8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2" s="27"/>
    </row>
    <row r="83" spans="2:7" ht="30" customHeight="1" x14ac:dyDescent="0.35">
      <c r="B83" s="11" t="str">
        <f ca="1">Tasks[[#This Row],[Status Icon]]</f>
        <v/>
      </c>
      <c r="C83" t="s">
        <v>76</v>
      </c>
      <c r="D83" s="12"/>
      <c r="E83" s="13"/>
      <c r="F8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3" s="27"/>
    </row>
    <row r="84" spans="2:7" ht="30" customHeight="1" x14ac:dyDescent="0.35">
      <c r="B84" s="11" t="str">
        <f ca="1">Tasks[[#This Row],[Status Icon]]</f>
        <v/>
      </c>
      <c r="C84" t="s">
        <v>77</v>
      </c>
      <c r="D84" s="12"/>
      <c r="E84" s="13"/>
      <c r="F8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4" s="27"/>
    </row>
    <row r="85" spans="2:7" ht="30" customHeight="1" x14ac:dyDescent="0.35">
      <c r="B85" s="11" t="str">
        <f ca="1">Tasks[[#This Row],[Status Icon]]</f>
        <v/>
      </c>
      <c r="C85" t="s">
        <v>78</v>
      </c>
      <c r="D85" s="12"/>
      <c r="E85" s="13"/>
      <c r="F8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5" s="27"/>
    </row>
    <row r="86" spans="2:7" ht="30" customHeight="1" x14ac:dyDescent="0.35">
      <c r="B86" s="11" t="str">
        <f ca="1">Tasks[[#This Row],[Status Icon]]</f>
        <v/>
      </c>
      <c r="C86" s="22" t="s">
        <v>79</v>
      </c>
      <c r="D86" s="23"/>
      <c r="E86" s="24"/>
      <c r="F8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6" s="29"/>
    </row>
    <row r="87" spans="2:7" ht="30" customHeight="1" x14ac:dyDescent="0.35">
      <c r="B87" s="11" t="str">
        <f ca="1">Tasks[[#This Row],[Status Icon]]</f>
        <v/>
      </c>
      <c r="C87" t="s">
        <v>80</v>
      </c>
      <c r="D87" s="12"/>
      <c r="E87" s="13"/>
      <c r="F8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7" s="27"/>
    </row>
    <row r="88" spans="2:7" ht="30" customHeight="1" x14ac:dyDescent="0.35">
      <c r="B88" s="11" t="str">
        <f ca="1">Tasks[[#This Row],[Status Icon]]</f>
        <v/>
      </c>
      <c r="C88" t="s">
        <v>81</v>
      </c>
      <c r="D88" s="12"/>
      <c r="E88" s="13"/>
      <c r="F8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8" s="27"/>
    </row>
    <row r="89" spans="2:7" ht="30" customHeight="1" x14ac:dyDescent="0.35">
      <c r="B89" s="11" t="str">
        <f ca="1">Tasks[[#This Row],[Status Icon]]</f>
        <v/>
      </c>
      <c r="C89" t="s">
        <v>82</v>
      </c>
      <c r="D89" s="12"/>
      <c r="E89" s="13"/>
      <c r="F8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9" s="27"/>
    </row>
    <row r="90" spans="2:7" ht="30" customHeight="1" x14ac:dyDescent="0.35">
      <c r="B90" s="11" t="str">
        <f ca="1">Tasks[[#This Row],[Status Icon]]</f>
        <v/>
      </c>
      <c r="C90" t="s">
        <v>83</v>
      </c>
      <c r="D90" s="12"/>
      <c r="E90" s="13"/>
      <c r="F9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0" s="27"/>
    </row>
    <row r="91" spans="2:7" ht="30" customHeight="1" x14ac:dyDescent="0.35">
      <c r="B91" s="11" t="str">
        <f ca="1">Tasks[[#This Row],[Status Icon]]</f>
        <v/>
      </c>
      <c r="C91" t="s">
        <v>84</v>
      </c>
      <c r="D91" s="12"/>
      <c r="E91" s="13"/>
      <c r="F9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1" s="27"/>
    </row>
    <row r="92" spans="2:7" ht="30" customHeight="1" x14ac:dyDescent="0.35">
      <c r="B92" s="11" t="str">
        <f ca="1">Tasks[[#This Row],[Status Icon]]</f>
        <v/>
      </c>
      <c r="C92" t="s">
        <v>85</v>
      </c>
      <c r="D92" s="12"/>
      <c r="E92" s="13"/>
      <c r="F9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2" s="27"/>
    </row>
    <row r="93" spans="2:7" ht="30" customHeight="1" x14ac:dyDescent="0.35">
      <c r="B93" s="11" t="str">
        <f ca="1">Tasks[[#This Row],[Status Icon]]</f>
        <v/>
      </c>
      <c r="C93" s="22" t="s">
        <v>86</v>
      </c>
      <c r="D93" s="23"/>
      <c r="E93" s="24"/>
      <c r="F9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3" s="29"/>
    </row>
    <row r="94" spans="2:7" ht="30" customHeight="1" x14ac:dyDescent="0.35">
      <c r="B94" s="11" t="str">
        <f ca="1">Tasks[[#This Row],[Status Icon]]</f>
        <v/>
      </c>
      <c r="C94" t="s">
        <v>87</v>
      </c>
      <c r="D94" s="12"/>
      <c r="E94" s="13"/>
      <c r="F9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4" s="27"/>
    </row>
    <row r="95" spans="2:7" ht="30" customHeight="1" x14ac:dyDescent="0.35">
      <c r="B95" s="11" t="str">
        <f ca="1">Tasks[[#This Row],[Status Icon]]</f>
        <v/>
      </c>
      <c r="C95" t="s">
        <v>88</v>
      </c>
      <c r="D95" s="12"/>
      <c r="E95" s="13"/>
      <c r="F9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5" s="27"/>
    </row>
    <row r="96" spans="2:7" ht="30" customHeight="1" x14ac:dyDescent="0.35">
      <c r="B96" s="11" t="str">
        <f ca="1">Tasks[[#This Row],[Status Icon]]</f>
        <v/>
      </c>
      <c r="C96" t="s">
        <v>89</v>
      </c>
      <c r="D96" s="12"/>
      <c r="E96" s="13"/>
      <c r="F9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6" s="27"/>
    </row>
    <row r="97" spans="2:7" ht="30" customHeight="1" x14ac:dyDescent="0.35">
      <c r="B97" s="11" t="str">
        <f ca="1">Tasks[[#This Row],[Status Icon]]</f>
        <v/>
      </c>
      <c r="C97" t="s">
        <v>90</v>
      </c>
      <c r="D97" s="12"/>
      <c r="E97" s="13"/>
      <c r="F9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7" s="27"/>
    </row>
    <row r="98" spans="2:7" ht="30" customHeight="1" x14ac:dyDescent="0.35">
      <c r="B98" s="11" t="str">
        <f ca="1">Tasks[[#This Row],[Status Icon]]</f>
        <v/>
      </c>
      <c r="C98" s="22" t="s">
        <v>107</v>
      </c>
      <c r="D98" s="23"/>
      <c r="E98" s="24"/>
      <c r="F98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8" s="29"/>
    </row>
    <row r="99" spans="2:7" ht="30" customHeight="1" x14ac:dyDescent="0.35">
      <c r="B99" s="11" t="str">
        <f ca="1">Tasks[[#This Row],[Status Icon]]</f>
        <v/>
      </c>
      <c r="C99" t="s">
        <v>108</v>
      </c>
      <c r="D99" s="12"/>
      <c r="E99" s="13"/>
      <c r="F9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9" s="27"/>
    </row>
    <row r="100" spans="2:7" ht="30" customHeight="1" x14ac:dyDescent="0.35">
      <c r="B100" s="11" t="str">
        <f ca="1">Tasks[[#This Row],[Status Icon]]</f>
        <v/>
      </c>
      <c r="C100" t="s">
        <v>109</v>
      </c>
      <c r="D100" s="12"/>
      <c r="E100" s="13"/>
      <c r="F10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0" s="27"/>
    </row>
    <row r="101" spans="2:7" ht="30" customHeight="1" x14ac:dyDescent="0.35">
      <c r="B101" s="11" t="str">
        <f ca="1">Tasks[[#This Row],[Status Icon]]</f>
        <v/>
      </c>
      <c r="C101" t="s">
        <v>110</v>
      </c>
      <c r="D101" s="12"/>
      <c r="E101" s="13"/>
      <c r="F10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1" s="27"/>
    </row>
    <row r="102" spans="2:7" ht="30" customHeight="1" x14ac:dyDescent="0.35">
      <c r="B102" s="11" t="str">
        <f ca="1">Tasks[[#This Row],[Status Icon]]</f>
        <v/>
      </c>
      <c r="C102" t="s">
        <v>111</v>
      </c>
      <c r="D102" s="12"/>
      <c r="E102" s="13"/>
      <c r="F10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2" s="27"/>
    </row>
    <row r="103" spans="2:7" ht="30" customHeight="1" x14ac:dyDescent="0.35">
      <c r="B103" s="11" t="str">
        <f ca="1">Tasks[[#This Row],[Status Icon]]</f>
        <v/>
      </c>
      <c r="C103" s="22" t="s">
        <v>112</v>
      </c>
      <c r="D103" s="23"/>
      <c r="E103" s="24"/>
      <c r="F10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3" s="29"/>
    </row>
    <row r="104" spans="2:7" ht="30" customHeight="1" x14ac:dyDescent="0.35">
      <c r="B104" s="11" t="str">
        <f ca="1">Tasks[[#This Row],[Status Icon]]</f>
        <v/>
      </c>
      <c r="C104" t="s">
        <v>113</v>
      </c>
      <c r="D104" s="12"/>
      <c r="E104" s="13"/>
      <c r="F10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4" s="27"/>
    </row>
    <row r="105" spans="2:7" ht="30" customHeight="1" x14ac:dyDescent="0.35">
      <c r="B105" s="11" t="str">
        <f ca="1">Tasks[[#This Row],[Status Icon]]</f>
        <v/>
      </c>
      <c r="C105" t="s">
        <v>114</v>
      </c>
      <c r="D105" s="12"/>
      <c r="E105" s="13"/>
      <c r="F10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5" s="27"/>
    </row>
    <row r="106" spans="2:7" ht="30" customHeight="1" x14ac:dyDescent="0.35">
      <c r="B106" s="11" t="str">
        <f ca="1">Tasks[[#This Row],[Status Icon]]</f>
        <v/>
      </c>
      <c r="C106" t="s">
        <v>115</v>
      </c>
      <c r="D106" s="12"/>
      <c r="E106" s="13"/>
      <c r="F10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6" s="27"/>
    </row>
    <row r="107" spans="2:7" ht="30" customHeight="1" x14ac:dyDescent="0.35">
      <c r="B107" s="11" t="str">
        <f ca="1">Tasks[[#This Row],[Status Icon]]</f>
        <v/>
      </c>
      <c r="C107" t="s">
        <v>116</v>
      </c>
      <c r="D107" s="12"/>
      <c r="E107" s="13"/>
      <c r="F10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7" s="27"/>
    </row>
    <row r="108" spans="2:7" ht="30" customHeight="1" x14ac:dyDescent="0.35">
      <c r="B108" s="11" t="str">
        <f ca="1">Tasks[[#This Row],[Status Icon]]</f>
        <v/>
      </c>
      <c r="C108" s="22" t="s">
        <v>117</v>
      </c>
      <c r="D108" s="23"/>
      <c r="E108" s="24"/>
      <c r="F108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8" s="29"/>
    </row>
    <row r="109" spans="2:7" ht="30" customHeight="1" x14ac:dyDescent="0.35">
      <c r="B109" s="11" t="str">
        <f ca="1">Tasks[[#This Row],[Status Icon]]</f>
        <v/>
      </c>
      <c r="C109" t="s">
        <v>118</v>
      </c>
      <c r="D109" s="12"/>
      <c r="E109" s="13"/>
      <c r="F10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9" s="27"/>
    </row>
    <row r="110" spans="2:7" ht="30" customHeight="1" x14ac:dyDescent="0.35">
      <c r="B110" s="11" t="str">
        <f ca="1">Tasks[[#This Row],[Status Icon]]</f>
        <v/>
      </c>
      <c r="C110" t="s">
        <v>119</v>
      </c>
      <c r="D110" s="12"/>
      <c r="E110" s="13"/>
      <c r="F11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0" s="27"/>
    </row>
    <row r="111" spans="2:7" ht="30" customHeight="1" x14ac:dyDescent="0.35">
      <c r="B111" s="11" t="str">
        <f ca="1">Tasks[[#This Row],[Status Icon]]</f>
        <v/>
      </c>
      <c r="C111" s="22" t="s">
        <v>120</v>
      </c>
      <c r="D111" s="23"/>
      <c r="E111" s="24"/>
      <c r="F11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1" s="29"/>
    </row>
    <row r="112" spans="2:7" ht="30" customHeight="1" x14ac:dyDescent="0.35">
      <c r="B112" s="11" t="str">
        <f ca="1">Tasks[[#This Row],[Status Icon]]</f>
        <v/>
      </c>
      <c r="C112" t="s">
        <v>121</v>
      </c>
      <c r="D112" s="12"/>
      <c r="E112" s="13"/>
      <c r="F11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2" s="27"/>
    </row>
    <row r="113" spans="2:7" ht="30" customHeight="1" x14ac:dyDescent="0.35">
      <c r="B113" s="11" t="str">
        <f ca="1">Tasks[[#This Row],[Status Icon]]</f>
        <v/>
      </c>
      <c r="C113" t="s">
        <v>122</v>
      </c>
      <c r="D113" s="12"/>
      <c r="E113" s="13"/>
      <c r="F11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3" s="27"/>
    </row>
    <row r="114" spans="2:7" ht="30" customHeight="1" x14ac:dyDescent="0.35">
      <c r="B114" s="11" t="str">
        <f ca="1">Tasks[[#This Row],[Status Icon]]</f>
        <v/>
      </c>
      <c r="C114" t="s">
        <v>123</v>
      </c>
      <c r="D114" s="12"/>
      <c r="E114" s="13"/>
      <c r="F11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4" s="27"/>
    </row>
    <row r="115" spans="2:7" ht="30" customHeight="1" x14ac:dyDescent="0.35">
      <c r="B115" s="11" t="str">
        <f ca="1">Tasks[[#This Row],[Status Icon]]</f>
        <v/>
      </c>
      <c r="C115" t="s">
        <v>124</v>
      </c>
      <c r="D115" s="12"/>
      <c r="E115" s="13"/>
      <c r="F11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5" s="27"/>
    </row>
    <row r="116" spans="2:7" ht="30" customHeight="1" x14ac:dyDescent="0.35">
      <c r="B116" s="11" t="str">
        <f ca="1">Tasks[[#This Row],[Status Icon]]</f>
        <v/>
      </c>
      <c r="C116" s="22" t="s">
        <v>125</v>
      </c>
      <c r="D116" s="23"/>
      <c r="E116" s="24"/>
      <c r="F11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6" s="29"/>
    </row>
    <row r="117" spans="2:7" ht="30" customHeight="1" x14ac:dyDescent="0.35">
      <c r="B117" s="11" t="str">
        <f ca="1">Tasks[[#This Row],[Status Icon]]</f>
        <v/>
      </c>
      <c r="C117" t="s">
        <v>126</v>
      </c>
      <c r="D117" s="12"/>
      <c r="E117" s="13"/>
      <c r="F11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7" s="27"/>
    </row>
    <row r="118" spans="2:7" ht="30" customHeight="1" x14ac:dyDescent="0.35">
      <c r="B118" s="11" t="str">
        <f ca="1">Tasks[[#This Row],[Status Icon]]</f>
        <v/>
      </c>
      <c r="C118" t="s">
        <v>127</v>
      </c>
      <c r="D118" s="12"/>
      <c r="E118" s="13"/>
      <c r="F11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8" s="27"/>
    </row>
    <row r="119" spans="2:7" ht="30" customHeight="1" x14ac:dyDescent="0.35">
      <c r="B119" s="11" t="str">
        <f ca="1">Tasks[[#This Row],[Status Icon]]</f>
        <v/>
      </c>
      <c r="D119" s="12"/>
      <c r="E119" s="13"/>
      <c r="F11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9" s="27"/>
    </row>
    <row r="120" spans="2:7" ht="30" customHeight="1" x14ac:dyDescent="0.35">
      <c r="B120" s="11" t="str">
        <f ca="1">Tasks[[#This Row],[Status Icon]]</f>
        <v/>
      </c>
      <c r="D120" s="12"/>
      <c r="E120" s="13"/>
      <c r="F12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0" s="27"/>
    </row>
    <row r="121" spans="2:7" ht="30" customHeight="1" x14ac:dyDescent="0.35">
      <c r="B121" s="11" t="str">
        <f ca="1">Tasks[[#This Row],[Status Icon]]</f>
        <v/>
      </c>
      <c r="D121" s="12"/>
      <c r="E121" s="13"/>
      <c r="F12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1" s="27"/>
    </row>
    <row r="122" spans="2:7" ht="30" customHeight="1" x14ac:dyDescent="0.35">
      <c r="B122" s="11" t="str">
        <f ca="1">Tasks[[#This Row],[Status Icon]]</f>
        <v/>
      </c>
      <c r="D122" s="12"/>
      <c r="E122" s="13"/>
      <c r="F12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2" s="27"/>
    </row>
    <row r="123" spans="2:7" ht="30" customHeight="1" x14ac:dyDescent="0.35">
      <c r="B123" s="11" t="str">
        <f ca="1">Tasks[[#This Row],[Status Icon]]</f>
        <v/>
      </c>
      <c r="D123" s="12"/>
      <c r="E123" s="13"/>
      <c r="F12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3" s="27"/>
    </row>
    <row r="124" spans="2:7" ht="30" customHeight="1" x14ac:dyDescent="0.35">
      <c r="B124" s="11" t="str">
        <f ca="1">Tasks[[#This Row],[Status Icon]]</f>
        <v/>
      </c>
      <c r="D124" s="12"/>
      <c r="E124" s="13"/>
      <c r="F12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4" s="27"/>
    </row>
    <row r="125" spans="2:7" ht="30" customHeight="1" x14ac:dyDescent="0.35">
      <c r="B125" s="11" t="str">
        <f ca="1">Tasks[[#This Row],[Status Icon]]</f>
        <v/>
      </c>
      <c r="D125" s="12"/>
      <c r="E125" s="13"/>
      <c r="F12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5" s="27"/>
    </row>
    <row r="126" spans="2:7" ht="30" customHeight="1" x14ac:dyDescent="0.35">
      <c r="B126" s="11" t="str">
        <f ca="1">Tasks[[#This Row],[Status Icon]]</f>
        <v/>
      </c>
      <c r="D126" s="12"/>
      <c r="E126" s="13"/>
      <c r="F12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6" s="27"/>
    </row>
    <row r="127" spans="2:7" ht="30" customHeight="1" x14ac:dyDescent="0.35">
      <c r="B127" s="11" t="str">
        <f ca="1">Tasks[[#This Row],[Status Icon]]</f>
        <v/>
      </c>
      <c r="D127" s="12"/>
      <c r="E127" s="13"/>
      <c r="F1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7" s="27"/>
    </row>
    <row r="128" spans="2:7" ht="30" customHeight="1" x14ac:dyDescent="0.35">
      <c r="B128" s="11" t="str">
        <f ca="1">Tasks[[#This Row],[Status Icon]]</f>
        <v/>
      </c>
      <c r="D128" s="12"/>
      <c r="E128" s="13"/>
      <c r="F1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8" s="27"/>
    </row>
    <row r="129" spans="2:7" ht="30" customHeight="1" x14ac:dyDescent="0.35">
      <c r="B129" s="11" t="str">
        <f ca="1">Tasks[[#This Row],[Status Icon]]</f>
        <v/>
      </c>
      <c r="D129" s="12"/>
      <c r="E129" s="13"/>
      <c r="F1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29" s="27"/>
    </row>
    <row r="130" spans="2:7" ht="30" customHeight="1" x14ac:dyDescent="0.35">
      <c r="B130" s="11" t="str">
        <f ca="1">Tasks[[#This Row],[Status Icon]]</f>
        <v/>
      </c>
      <c r="D130" s="12"/>
      <c r="E130" s="13"/>
      <c r="F1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0" s="27"/>
    </row>
    <row r="131" spans="2:7" ht="30" customHeight="1" x14ac:dyDescent="0.35">
      <c r="B131" s="11" t="str">
        <f ca="1">Tasks[[#This Row],[Status Icon]]</f>
        <v/>
      </c>
      <c r="D131" s="12"/>
      <c r="E131" s="13"/>
      <c r="F13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1" s="27"/>
    </row>
    <row r="132" spans="2:7" ht="30" customHeight="1" x14ac:dyDescent="0.35">
      <c r="B132" s="11" t="str">
        <f ca="1">Tasks[[#This Row],[Status Icon]]</f>
        <v/>
      </c>
      <c r="D132" s="12"/>
      <c r="E132" s="13"/>
      <c r="F1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2" s="27"/>
    </row>
    <row r="133" spans="2:7" ht="30" customHeight="1" x14ac:dyDescent="0.35">
      <c r="B133" s="11" t="str">
        <f ca="1">Tasks[[#This Row],[Status Icon]]</f>
        <v/>
      </c>
      <c r="D133" s="12"/>
      <c r="E133" s="13"/>
      <c r="F1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33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133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133">
    <cfRule type="expression" dxfId="8" priority="5">
      <formula>F7=1</formula>
    </cfRule>
    <cfRule type="expression" dxfId="7" priority="6">
      <formula>F7=0</formula>
    </cfRule>
    <cfRule type="expression" dxfId="6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5" priority="1">
      <formula>G18=1</formula>
    </cfRule>
    <cfRule type="expression" dxfId="4" priority="2">
      <formula>G18=0</formula>
    </cfRule>
    <cfRule type="expression" dxfId="3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133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2026-02-10T19:05:39Z</dcterms:modified>
  <cp:category/>
  <cp:contentStatus/>
</cp:coreProperties>
</file>