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155DAF71-91F2-4C14-BC65-8E1076842942}" xr6:coauthVersionLast="47" xr6:coauthVersionMax="47" xr10:uidLastSave="{00000000-0000-0000-0000-000000000000}"/>
  <bookViews>
    <workbookView xWindow="2820" yWindow="4440" windowWidth="28800" windowHeight="15345"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8" i="1" l="1"/>
  <c r="B78" i="1" s="1"/>
  <c r="F79" i="1"/>
  <c r="B79" i="1" s="1"/>
  <c r="F49" i="1"/>
  <c r="B49" i="1" s="1"/>
  <c r="F48" i="1"/>
  <c r="B48" i="1" s="1"/>
  <c r="F47" i="1"/>
  <c r="B47"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5" i="1"/>
  <c r="B115"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01" i="1"/>
  <c r="B101"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8" i="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80" i="1"/>
  <c r="B80" i="1" s="1"/>
  <c r="F77" i="1"/>
  <c r="B77" i="1" s="1"/>
  <c r="F76" i="1"/>
  <c r="B76" i="1" s="1"/>
  <c r="F75" i="1"/>
  <c r="B75" i="1" s="1"/>
  <c r="F74" i="1"/>
  <c r="B74" i="1" s="1"/>
  <c r="F73" i="1"/>
  <c r="B73" i="1" s="1"/>
  <c r="F45" i="1"/>
  <c r="B45" i="1" s="1"/>
  <c r="F46" i="1"/>
  <c r="B46" i="1" s="1"/>
  <c r="F50" i="1"/>
  <c r="B50"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40" i="1"/>
  <c r="B40" i="1" s="1"/>
  <c r="F41" i="1"/>
  <c r="B41" i="1" s="1"/>
  <c r="F42" i="1"/>
  <c r="B42" i="1" s="1"/>
  <c r="F44" i="1"/>
  <c r="B44" i="1" s="1"/>
  <c r="F35" i="1"/>
  <c r="B35" i="1" s="1"/>
  <c r="F36" i="1"/>
  <c r="B36" i="1" s="1"/>
  <c r="F37" i="1"/>
  <c r="B37" i="1" s="1"/>
  <c r="F38" i="1"/>
  <c r="B38" i="1" s="1"/>
  <c r="F39" i="1"/>
  <c r="B39" i="1" s="1"/>
  <c r="F43" i="1"/>
  <c r="B43" i="1" s="1"/>
  <c r="F31" i="1"/>
  <c r="B31" i="1" s="1"/>
  <c r="F33" i="1"/>
  <c r="B33" i="1" s="1"/>
  <c r="F34" i="1"/>
  <c r="B34"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<sst xmlns="http://schemas.openxmlformats.org/spreadsheetml/2006/main" count="344" uniqueCount="148">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</sst>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2" totalsRowShown="0">
  <autoFilter ref="B6:G132"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2"/>
  <sheetViews>
    <sheetView showGridLines="0" tabSelected="1" topLeftCell="A38" zoomScaleNormal="100" workbookViewId="0">
      <selection activeCell="F48" sqref="F48"/>
    </sheetView>
  </sheetViews>
  <sheetFormatPr baseColWidth="10" defaultColWidth="8.7109375" defaultRowHeight="30" customHeight="1" x14ac:dyDescent="0.25"/>
  <cols>
    <col min="1" max="1" width="2.5703125" customWidth="1"/>
    <col min="2" max="2" width="1" customWidth="1"/>
    <col min="3" max="3" width="42.5703125" customWidth="1"/>
    <col min="4" max="4" width="18.5703125" customWidth="1"/>
    <col min="5" max="5" width="22.5703125" customWidth="1"/>
    <col min="6" max="6" width="31" customWidth="1"/>
    <col min="7" max="7" width="43.42578125" customWidth="1"/>
    <col min="8" max="8" width="2.5703125" customWidth="1"/>
  </cols>
  <sheetData>
    <row r="1" spans="2:7" ht="33.75" customHeight="1" x14ac:dyDescent="0.25">
      <c r="B1" s="33"/>
      <c r="C1" s="33"/>
    </row>
    <row r="2" spans="2:7" ht="33" customHeight="1" thickBot="1" x14ac:dyDescent="0.3">
      <c r="B2" s="34" t="s">
        <v>0</v>
      </c>
      <c r="C2" s="34"/>
      <c r="D2" s="1" t="s">
        <v>1</v>
      </c>
      <c r="E2" s="2" t="s">
        <v>13</v>
      </c>
      <c r="F2" s="1"/>
      <c r="G2" s="1"/>
    </row>
    <row r="3" spans="2:7" ht="33" customHeight="1" thickTop="1" thickBot="1" x14ac:dyDescent="0.3">
      <c r="B3" s="34"/>
      <c r="C3" s="34"/>
      <c r="D3" s="10" t="s">
        <v>12</v>
      </c>
      <c r="E3" s="5">
        <v>46185</v>
      </c>
      <c r="F3" s="1" t="s">
        <v>2</v>
      </c>
      <c r="G3" s="2" t="s">
        <v>11</v>
      </c>
    </row>
    <row r="4" spans="2:7" ht="28.5" customHeight="1" thickTop="1" x14ac:dyDescent="0.3">
      <c r="B4" s="35" t="s">
        <v>3</v>
      </c>
      <c r="C4" s="35"/>
      <c r="D4" s="35"/>
      <c r="E4" s="35" t="s">
        <v>4</v>
      </c>
      <c r="F4" s="35"/>
      <c r="G4" s="35"/>
    </row>
    <row r="5" spans="2:7" ht="75" customHeight="1" x14ac:dyDescent="0.25">
      <c r="B5" s="36" t="s">
        <v>144</v>
      </c>
      <c r="C5" s="36"/>
      <c r="D5" s="36"/>
      <c r="E5" s="36" t="s">
        <v>134</v>
      </c>
      <c r="F5" s="36"/>
      <c r="G5" s="36"/>
    </row>
    <row r="6" spans="2:7" ht="50.1" customHeight="1" x14ac:dyDescent="0.25">
      <c r="B6" s="3" t="s">
        <v>5</v>
      </c>
      <c r="C6" s="3" t="s">
        <v>6</v>
      </c>
      <c r="D6" s="6" t="s">
        <v>7</v>
      </c>
      <c r="E6" s="6" t="s">
        <v>8</v>
      </c>
      <c r="F6" s="6" t="s">
        <v>9</v>
      </c>
      <c r="G6" s="3" t="s">
        <v>135</v>
      </c>
    </row>
    <row r="7" spans="2:7" ht="30" customHeight="1" x14ac:dyDescent="0.25">
      <c r="B7" s="8" t="str">
        <f ca="1">Tasks[[#This Row],[Status Icon]]</f>
        <v/>
      </c>
      <c r="C7" s="14" t="s">
        <v>83</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25">
      <c r="B8" s="8">
        <f ca="1">Tasks[[#This Row],[Status Icon]]</f>
        <v>1</v>
      </c>
      <c r="C8" t="s">
        <v>14</v>
      </c>
      <c r="D8" s="7">
        <v>46063</v>
      </c>
      <c r="E8" s="4" t="s">
        <v>133</v>
      </c>
      <c r="F8" s="9">
        <f ca="1">IFERROR(IF(ISBLANK(Tasks[[#This Row],[Due Date]]),"",IF(Tasks[[#This Row],[Done?]]="Yes",1,IF(OR(Tasks[[#This Row],[Due Date]]&gt;PlanDueDate,Tasks[[#This Row],[Done?]]="No"),-1,IF(OR(OR(Tasks[[#This Row],[Due Date]]=TODAY(),Tasks[[#This Row],[Due Date]]=PlanDueDate),Tasks[[#This Row],[Done?]]="Pending"),0,"")))),"")</f>
        <v>1</v>
      </c>
      <c r="G8" s="27" t="s">
        <v>136</v>
      </c>
    </row>
    <row r="9" spans="2:7" ht="30" customHeight="1" x14ac:dyDescent="0.25">
      <c r="B9" s="8">
        <f ca="1">Tasks[[#This Row],[Status Icon]]</f>
        <v>1</v>
      </c>
      <c r="C9" t="s">
        <v>15</v>
      </c>
      <c r="D9" s="7">
        <v>46063</v>
      </c>
      <c r="E9" s="4" t="s">
        <v>133</v>
      </c>
      <c r="F9" s="9">
        <f ca="1">IFERROR(IF(ISBLANK(Tasks[[#This Row],[Due Date]]),"",IF(Tasks[[#This Row],[Done?]]="Yes",1,IF(OR(Tasks[[#This Row],[Due Date]]&gt;PlanDueDate,Tasks[[#This Row],[Done?]]="No"),-1,IF(OR(OR(Tasks[[#This Row],[Due Date]]=TODAY(),Tasks[[#This Row],[Due Date]]=PlanDueDate),Tasks[[#This Row],[Done?]]="Pending"),0,"")))),"")</f>
        <v>1</v>
      </c>
      <c r="G9" s="27" t="s">
        <v>136</v>
      </c>
    </row>
    <row r="10" spans="2:7" ht="30" customHeight="1" x14ac:dyDescent="0.25">
      <c r="B10" s="8">
        <f ca="1">Tasks[[#This Row],[Status Icon]]</f>
        <v>1</v>
      </c>
      <c r="C10" t="s">
        <v>16</v>
      </c>
      <c r="D10" s="7">
        <v>46063</v>
      </c>
      <c r="E10" s="4" t="s">
        <v>133</v>
      </c>
      <c r="F10" s="9">
        <f ca="1">IFERROR(IF(ISBLANK(Tasks[[#This Row],[Due Date]]),"",IF(Tasks[[#This Row],[Done?]]="Yes",1,IF(OR(Tasks[[#This Row],[Due Date]]&gt;PlanDueDate,Tasks[[#This Row],[Done?]]="No"),-1,IF(OR(OR(Tasks[[#This Row],[Due Date]]=TODAY(),Tasks[[#This Row],[Due Date]]=PlanDueDate),Tasks[[#This Row],[Done?]]="Pending"),0,"")))),"")</f>
        <v>1</v>
      </c>
      <c r="G10" s="27" t="s">
        <v>136</v>
      </c>
    </row>
    <row r="11" spans="2:7" ht="30" customHeight="1" x14ac:dyDescent="0.25">
      <c r="B11" s="11">
        <f ca="1">Tasks[[#This Row],[Status Icon]]</f>
        <v>1</v>
      </c>
      <c r="C11" t="s">
        <v>137</v>
      </c>
      <c r="D11" s="7">
        <v>46063</v>
      </c>
      <c r="E11" s="4" t="s">
        <v>133</v>
      </c>
      <c r="F11" s="9">
        <f ca="1">IFERROR(IF(ISBLANK(Tasks[[#This Row],[Due Date]]),"",IF(Tasks[[#This Row],[Done?]]="Yes",1,IF(OR(Tasks[[#This Row],[Due Date]]&gt;PlanDueDate,Tasks[[#This Row],[Done?]]="No"),-1,IF(OR(OR(Tasks[[#This Row],[Due Date]]=TODAY(),Tasks[[#This Row],[Due Date]]=PlanDueDate),Tasks[[#This Row],[Done?]]="Pending"),0,"")))),"")</f>
        <v>1</v>
      </c>
      <c r="G11" s="27" t="s">
        <v>138</v>
      </c>
    </row>
    <row r="12" spans="2:7" ht="30" customHeight="1" x14ac:dyDescent="0.25">
      <c r="B12" s="11" t="str">
        <f ca="1">Tasks[[#This Row],[Status Icon]]</f>
        <v/>
      </c>
      <c r="C12" s="18" t="s">
        <v>84</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25">
      <c r="B13" s="11">
        <f ca="1">Tasks[[#This Row],[Status Icon]]</f>
        <v>1</v>
      </c>
      <c r="C13" t="s">
        <v>17</v>
      </c>
      <c r="D13" s="12">
        <v>46079</v>
      </c>
      <c r="E13" s="13" t="s">
        <v>133</v>
      </c>
      <c r="F13" s="11">
        <f ca="1">IFERROR(IF(ISBLANK(Tasks[[#This Row],[Due Date]]),"",IF(Tasks[[#This Row],[Done?]]="Yes",1,IF(OR(Tasks[[#This Row],[Due Date]]&gt;PlanDueDate,Tasks[[#This Row],[Done?]]="No"),-1,IF(OR(OR(Tasks[[#This Row],[Due Date]]=TODAY(),Tasks[[#This Row],[Due Date]]=PlanDueDate),Tasks[[#This Row],[Done?]]="Pending"),0,"")))),"")</f>
        <v>1</v>
      </c>
      <c r="G13" s="27" t="s">
        <v>136</v>
      </c>
    </row>
    <row r="14" spans="2:7" ht="30" customHeight="1" x14ac:dyDescent="0.25">
      <c r="B14" s="11">
        <f ca="1">Tasks[[#This Row],[Status Icon]]</f>
        <v>1</v>
      </c>
      <c r="C14" t="s">
        <v>18</v>
      </c>
      <c r="D14" s="12">
        <v>46079</v>
      </c>
      <c r="E14" s="13" t="s">
        <v>133</v>
      </c>
      <c r="F14" s="11">
        <f ca="1">IFERROR(IF(ISBLANK(Tasks[[#This Row],[Due Date]]),"",IF(Tasks[[#This Row],[Done?]]="Yes",1,IF(OR(Tasks[[#This Row],[Due Date]]&gt;PlanDueDate,Tasks[[#This Row],[Done?]]="No"),-1,IF(OR(OR(Tasks[[#This Row],[Due Date]]=TODAY(),Tasks[[#This Row],[Due Date]]=PlanDueDate),Tasks[[#This Row],[Done?]]="Pending"),0,"")))),"")</f>
        <v>1</v>
      </c>
      <c r="G14" s="27" t="s">
        <v>136</v>
      </c>
    </row>
    <row r="15" spans="2:7" ht="30" customHeight="1" x14ac:dyDescent="0.25">
      <c r="B15" s="11">
        <f ca="1">Tasks[[#This Row],[Status Icon]]</f>
        <v>1</v>
      </c>
      <c r="C15" t="s">
        <v>19</v>
      </c>
      <c r="D15" s="12">
        <v>46079</v>
      </c>
      <c r="E15" s="13" t="s">
        <v>133</v>
      </c>
      <c r="F15" s="11">
        <f ca="1">IFERROR(IF(ISBLANK(Tasks[[#This Row],[Due Date]]),"",IF(Tasks[[#This Row],[Done?]]="Yes",1,IF(OR(Tasks[[#This Row],[Due Date]]&gt;PlanDueDate,Tasks[[#This Row],[Done?]]="No"),-1,IF(OR(OR(Tasks[[#This Row],[Due Date]]=TODAY(),Tasks[[#This Row],[Due Date]]=PlanDueDate),Tasks[[#This Row],[Done?]]="Pending"),0,"")))),"")</f>
        <v>1</v>
      </c>
      <c r="G15" s="27" t="s">
        <v>138</v>
      </c>
    </row>
    <row r="16" spans="2:7" ht="30" customHeight="1" x14ac:dyDescent="0.25">
      <c r="B16" s="11">
        <f ca="1">Tasks[[#This Row],[Status Icon]]</f>
        <v>1</v>
      </c>
      <c r="C16" t="s">
        <v>20</v>
      </c>
      <c r="D16" s="12">
        <v>46079</v>
      </c>
      <c r="E16" s="13" t="s">
        <v>133</v>
      </c>
      <c r="F16" s="11">
        <f ca="1">IFERROR(IF(ISBLANK(Tasks[[#This Row],[Due Date]]),"",IF(Tasks[[#This Row],[Done?]]="Yes",1,IF(OR(Tasks[[#This Row],[Due Date]]&gt;PlanDueDate,Tasks[[#This Row],[Done?]]="No"),-1,IF(OR(OR(Tasks[[#This Row],[Due Date]]=TODAY(),Tasks[[#This Row],[Due Date]]=PlanDueDate),Tasks[[#This Row],[Done?]]="Pending"),0,"")))),"")</f>
        <v>1</v>
      </c>
      <c r="G16" s="27" t="s">
        <v>138</v>
      </c>
    </row>
    <row r="17" spans="2:7" ht="30" customHeight="1" x14ac:dyDescent="0.25">
      <c r="B17" s="11">
        <f ca="1">Tasks[[#This Row],[Status Icon]]</f>
        <v>1</v>
      </c>
      <c r="C17" t="s">
        <v>21</v>
      </c>
      <c r="D17" s="12">
        <v>46079</v>
      </c>
      <c r="E17" s="13" t="s">
        <v>133</v>
      </c>
      <c r="F17" s="11">
        <f ca="1">IFERROR(IF(ISBLANK(Tasks[[#This Row],[Due Date]]),"",IF(Tasks[[#This Row],[Done?]]="Yes",1,IF(OR(Tasks[[#This Row],[Due Date]]&gt;PlanDueDate,Tasks[[#This Row],[Done?]]="No"),-1,IF(OR(OR(Tasks[[#This Row],[Due Date]]=TODAY(),Tasks[[#This Row],[Due Date]]=PlanDueDate),Tasks[[#This Row],[Done?]]="Pending"),0,"")))),"")</f>
        <v>1</v>
      </c>
      <c r="G17" s="27" t="s">
        <v>139</v>
      </c>
    </row>
    <row r="18" spans="2:7" ht="30" customHeight="1" x14ac:dyDescent="0.25">
      <c r="B18" s="11" t="str">
        <f ca="1">Tasks[[#This Row],[Status Icon]]</f>
        <v/>
      </c>
      <c r="C18" s="22" t="s">
        <v>85</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25">
      <c r="B19" s="11">
        <f ca="1">Tasks[[#This Row],[Status Icon]]</f>
        <v>1</v>
      </c>
      <c r="C19" t="s">
        <v>35</v>
      </c>
      <c r="D19" s="12">
        <v>46086</v>
      </c>
      <c r="E19" s="13" t="s">
        <v>133</v>
      </c>
      <c r="F19" s="11">
        <f ca="1">IFERROR(IF(ISBLANK(Tasks[[#This Row],[Due Date]]),"",IF(Tasks[[#This Row],[Done?]]="Yes",1,IF(OR(Tasks[[#This Row],[Due Date]]&gt;PlanDueDate,Tasks[[#This Row],[Done?]]="No"),-1,IF(OR(OR(Tasks[[#This Row],[Due Date]]=TODAY(),Tasks[[#This Row],[Due Date]]=PlanDueDate),Tasks[[#This Row],[Done?]]="Pending"),0,"")))),"")</f>
        <v>1</v>
      </c>
      <c r="G19" s="27" t="s">
        <v>136</v>
      </c>
    </row>
    <row r="20" spans="2:7" ht="30" customHeight="1" x14ac:dyDescent="0.25">
      <c r="B20" s="11">
        <f ca="1">Tasks[[#This Row],[Status Icon]]</f>
        <v>1</v>
      </c>
      <c r="C20" t="s">
        <v>36</v>
      </c>
      <c r="D20" s="12">
        <v>46086</v>
      </c>
      <c r="E20" s="13" t="s">
        <v>133</v>
      </c>
      <c r="F20" s="11">
        <f ca="1">IFERROR(IF(ISBLANK(Tasks[[#This Row],[Due Date]]),"",IF(Tasks[[#This Row],[Done?]]="Yes",1,IF(OR(Tasks[[#This Row],[Due Date]]&gt;PlanDueDate,Tasks[[#This Row],[Done?]]="No"),-1,IF(OR(OR(Tasks[[#This Row],[Due Date]]=TODAY(),Tasks[[#This Row],[Due Date]]=PlanDueDate),Tasks[[#This Row],[Done?]]="Pending"),0,"")))),"")</f>
        <v>1</v>
      </c>
      <c r="G20" s="27" t="s">
        <v>138</v>
      </c>
    </row>
    <row r="21" spans="2:7" ht="30" customHeight="1" x14ac:dyDescent="0.25">
      <c r="B21" s="11">
        <f ca="1">Tasks[[#This Row],[Status Icon]]</f>
        <v>1</v>
      </c>
      <c r="C21" t="s">
        <v>37</v>
      </c>
      <c r="D21" s="12">
        <v>46086</v>
      </c>
      <c r="E21" s="13" t="s">
        <v>133</v>
      </c>
      <c r="F21" s="11">
        <f ca="1">IFERROR(IF(ISBLANK(Tasks[[#This Row],[Due Date]]),"",IF(Tasks[[#This Row],[Done?]]="Yes",1,IF(OR(Tasks[[#This Row],[Due Date]]&gt;PlanDueDate,Tasks[[#This Row],[Done?]]="No"),-1,IF(OR(OR(Tasks[[#This Row],[Due Date]]=TODAY(),Tasks[[#This Row],[Due Date]]=PlanDueDate),Tasks[[#This Row],[Done?]]="Pending"),0,"")))),"")</f>
        <v>1</v>
      </c>
      <c r="G21" s="27" t="s">
        <v>138</v>
      </c>
    </row>
    <row r="22" spans="2:7" ht="30" customHeight="1" x14ac:dyDescent="0.25">
      <c r="B22" s="11">
        <f ca="1">Tasks[[#This Row],[Status Icon]]</f>
        <v>1</v>
      </c>
      <c r="C22" t="s">
        <v>38</v>
      </c>
      <c r="D22" s="12">
        <v>46086</v>
      </c>
      <c r="E22" s="13" t="s">
        <v>133</v>
      </c>
      <c r="F22" s="11">
        <f ca="1">IFERROR(IF(ISBLANK(Tasks[[#This Row],[Due Date]]),"",IF(Tasks[[#This Row],[Done?]]="Yes",1,IF(OR(Tasks[[#This Row],[Due Date]]&gt;PlanDueDate,Tasks[[#This Row],[Done?]]="No"),-1,IF(OR(OR(Tasks[[#This Row],[Due Date]]=TODAY(),Tasks[[#This Row],[Due Date]]=PlanDueDate),Tasks[[#This Row],[Done?]]="Pending"),0,"")))),"")</f>
        <v>1</v>
      </c>
      <c r="G22" s="27" t="s">
        <v>138</v>
      </c>
    </row>
    <row r="23" spans="2:7" ht="30" customHeight="1" x14ac:dyDescent="0.25">
      <c r="B23" s="11">
        <f ca="1">Tasks[[#This Row],[Status Icon]]</f>
        <v>1</v>
      </c>
      <c r="C23" t="s">
        <v>39</v>
      </c>
      <c r="D23" s="12">
        <v>46086</v>
      </c>
      <c r="E23" s="13" t="s">
        <v>133</v>
      </c>
      <c r="F23" s="11">
        <f ca="1">IFERROR(IF(ISBLANK(Tasks[[#This Row],[Due Date]]),"",IF(Tasks[[#This Row],[Done?]]="Yes",1,IF(OR(Tasks[[#This Row],[Due Date]]&gt;PlanDueDate,Tasks[[#This Row],[Done?]]="No"),-1,IF(OR(OR(Tasks[[#This Row],[Due Date]]=TODAY(),Tasks[[#This Row],[Due Date]]=PlanDueDate),Tasks[[#This Row],[Done?]]="Pending"),0,"")))),"")</f>
        <v>1</v>
      </c>
      <c r="G23" s="27" t="s">
        <v>136</v>
      </c>
    </row>
    <row r="24" spans="2:7" ht="30" customHeight="1" x14ac:dyDescent="0.25">
      <c r="B24" s="11">
        <f ca="1">Tasks[[#This Row],[Status Icon]]</f>
        <v>1</v>
      </c>
      <c r="C24" t="s">
        <v>40</v>
      </c>
      <c r="D24" s="12">
        <v>46086</v>
      </c>
      <c r="E24" s="13" t="s">
        <v>133</v>
      </c>
      <c r="F24" s="11">
        <f ca="1">IFERROR(IF(ISBLANK(Tasks[[#This Row],[Due Date]]),"",IF(Tasks[[#This Row],[Done?]]="Yes",1,IF(OR(Tasks[[#This Row],[Due Date]]&gt;PlanDueDate,Tasks[[#This Row],[Done?]]="No"),-1,IF(OR(OR(Tasks[[#This Row],[Due Date]]=TODAY(),Tasks[[#This Row],[Due Date]]=PlanDueDate),Tasks[[#This Row],[Done?]]="Pending"),0,"")))),"")</f>
        <v>1</v>
      </c>
      <c r="G24" s="27" t="s">
        <v>139</v>
      </c>
    </row>
    <row r="25" spans="2:7" ht="30" customHeight="1" x14ac:dyDescent="0.25">
      <c r="B25" s="11">
        <f ca="1">Tasks[[#This Row],[Status Icon]]</f>
        <v>1</v>
      </c>
      <c r="C25" t="s">
        <v>41</v>
      </c>
      <c r="D25" s="12">
        <v>46086</v>
      </c>
      <c r="E25" s="13" t="s">
        <v>133</v>
      </c>
      <c r="F25" s="11">
        <f ca="1">IFERROR(IF(ISBLANK(Tasks[[#This Row],[Due Date]]),"",IF(Tasks[[#This Row],[Done?]]="Yes",1,IF(OR(Tasks[[#This Row],[Due Date]]&gt;PlanDueDate,Tasks[[#This Row],[Done?]]="No"),-1,IF(OR(OR(Tasks[[#This Row],[Due Date]]=TODAY(),Tasks[[#This Row],[Due Date]]=PlanDueDate),Tasks[[#This Row],[Done?]]="Pending"),0,"")))),"")</f>
        <v>1</v>
      </c>
      <c r="G25" s="27" t="s">
        <v>139</v>
      </c>
    </row>
    <row r="26" spans="2:7" ht="30" customHeight="1" x14ac:dyDescent="0.25">
      <c r="B26" s="11" t="str">
        <f ca="1">Tasks[[#This Row],[Status Icon]]</f>
        <v/>
      </c>
      <c r="C26" s="22" t="s">
        <v>86</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25">
      <c r="B27" s="11">
        <f ca="1">Tasks[[#This Row],[Status Icon]]</f>
        <v>1</v>
      </c>
      <c r="C27" t="s">
        <v>22</v>
      </c>
      <c r="D27" s="12">
        <v>46093</v>
      </c>
      <c r="E27" s="13" t="s">
        <v>133</v>
      </c>
      <c r="F27" s="11">
        <f ca="1">IFERROR(IF(ISBLANK(Tasks[[#This Row],[Due Date]]),"",IF(Tasks[[#This Row],[Done?]]="Yes",1,IF(OR(Tasks[[#This Row],[Due Date]]&gt;PlanDueDate,Tasks[[#This Row],[Done?]]="No"),-1,IF(OR(OR(Tasks[[#This Row],[Due Date]]=TODAY(),Tasks[[#This Row],[Due Date]]=PlanDueDate),Tasks[[#This Row],[Done?]]="Pending"),0,"")))),"")</f>
        <v>1</v>
      </c>
      <c r="G27" s="30" t="s">
        <v>136</v>
      </c>
    </row>
    <row r="28" spans="2:7" ht="30" customHeight="1" x14ac:dyDescent="0.25">
      <c r="B28" s="11">
        <f ca="1">Tasks[[#This Row],[Status Icon]]</f>
        <v>1</v>
      </c>
      <c r="C28" t="s">
        <v>23</v>
      </c>
      <c r="D28" s="12">
        <v>46093</v>
      </c>
      <c r="E28" s="13" t="s">
        <v>133</v>
      </c>
      <c r="F28" s="11">
        <f ca="1">IFERROR(IF(ISBLANK(Tasks[[#This Row],[Due Date]]),"",IF(Tasks[[#This Row],[Done?]]="Yes",1,IF(OR(Tasks[[#This Row],[Due Date]]&gt;PlanDueDate,Tasks[[#This Row],[Done?]]="No"),-1,IF(OR(OR(Tasks[[#This Row],[Due Date]]=TODAY(),Tasks[[#This Row],[Due Date]]=PlanDueDate),Tasks[[#This Row],[Done?]]="Pending"),0,"")))),"")</f>
        <v>1</v>
      </c>
      <c r="G28" s="11" t="s">
        <v>139</v>
      </c>
    </row>
    <row r="29" spans="2:7" ht="30" customHeight="1" x14ac:dyDescent="0.25">
      <c r="B29" s="11" t="str">
        <f ca="1">Tasks[[#This Row],[Status Icon]]</f>
        <v/>
      </c>
      <c r="C29" s="22" t="s">
        <v>87</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25">
      <c r="B30" s="11">
        <f ca="1">Tasks[[#This Row],[Status Icon]]</f>
        <v>1</v>
      </c>
      <c r="C30" t="s">
        <v>24</v>
      </c>
      <c r="D30" s="12">
        <v>46093</v>
      </c>
      <c r="E30" s="13" t="s">
        <v>133</v>
      </c>
      <c r="F30" s="11">
        <f ca="1">IFERROR(IF(ISBLANK(Tasks[[#This Row],[Due Date]]),"",IF(Tasks[[#This Row],[Done?]]="Yes",1,IF(OR(Tasks[[#This Row],[Due Date]]&gt;PlanDueDate,Tasks[[#This Row],[Done?]]="No"),-1,IF(OR(OR(Tasks[[#This Row],[Due Date]]=TODAY(),Tasks[[#This Row],[Due Date]]=PlanDueDate),Tasks[[#This Row],[Done?]]="Pending"),0,"")))),"")</f>
        <v>1</v>
      </c>
      <c r="G30" s="11" t="s">
        <v>138</v>
      </c>
    </row>
    <row r="31" spans="2:7" ht="30" customHeight="1" x14ac:dyDescent="0.25">
      <c r="B31" s="11" t="str">
        <f ca="1">Tasks[[#This Row],[Status Icon]]</f>
        <v/>
      </c>
      <c r="C31" s="14" t="s">
        <v>88</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25">
      <c r="B32" s="11">
        <f ca="1">Tasks[[#This Row],[Status Icon]]</f>
        <v>1</v>
      </c>
      <c r="C32" t="s">
        <v>25</v>
      </c>
      <c r="D32" s="12">
        <v>46100</v>
      </c>
      <c r="E32" s="13" t="s">
        <v>133</v>
      </c>
      <c r="F32" s="11">
        <f ca="1">IFERROR(IF(ISBLANK(Tasks[[#This Row],[Due Date]]),"",IF(Tasks[[#This Row],[Done?]]="Yes",1,IF(OR(Tasks[[#This Row],[Due Date]]&gt;PlanDueDate,Tasks[[#This Row],[Done?]]="No"),-1,IF(OR(OR(Tasks[[#This Row],[Due Date]]=TODAY(),Tasks[[#This Row],[Due Date]]=PlanDueDate),Tasks[[#This Row],[Done?]]="Pending"),0,"")))),"")</f>
        <v>1</v>
      </c>
      <c r="G32" s="11" t="s">
        <v>136</v>
      </c>
    </row>
    <row r="33" spans="2:7" ht="30" customHeight="1" x14ac:dyDescent="0.25">
      <c r="B33" s="11">
        <f ca="1">Tasks[[#This Row],[Status Icon]]</f>
        <v>1</v>
      </c>
      <c r="C33" t="s">
        <v>26</v>
      </c>
      <c r="D33" s="12">
        <v>46100</v>
      </c>
      <c r="E33" s="13" t="s">
        <v>133</v>
      </c>
      <c r="F33" s="11">
        <f ca="1">IFERROR(IF(ISBLANK(Tasks[[#This Row],[Due Date]]),"",IF(Tasks[[#This Row],[Done?]]="Yes",1,IF(OR(Tasks[[#This Row],[Due Date]]&gt;PlanDueDate,Tasks[[#This Row],[Done?]]="No"),-1,IF(OR(OR(Tasks[[#This Row],[Due Date]]=TODAY(),Tasks[[#This Row],[Due Date]]=PlanDueDate),Tasks[[#This Row],[Done?]]="Pending"),0,"")))),"")</f>
        <v>1</v>
      </c>
      <c r="G33" s="11" t="s">
        <v>138</v>
      </c>
    </row>
    <row r="34" spans="2:7" ht="30" customHeight="1" x14ac:dyDescent="0.25">
      <c r="B34" s="11">
        <f ca="1">Tasks[[#This Row],[Status Icon]]</f>
        <v>0</v>
      </c>
      <c r="C34" t="s">
        <v>140</v>
      </c>
      <c r="D34" s="12">
        <v>46100</v>
      </c>
      <c r="E34" s="13" t="s">
        <v>147</v>
      </c>
      <c r="F34" s="11">
        <f ca="1">IFERROR(IF(ISBLANK(Tasks[[#This Row],[Due Date]]),"",IF(Tasks[[#This Row],[Done?]]="Yes",1,IF(OR(Tasks[[#This Row],[Due Date]]&gt;PlanDueDate,Tasks[[#This Row],[Done?]]="No"),-1,IF(OR(OR(Tasks[[#This Row],[Due Date]]=TODAY(),Tasks[[#This Row],[Due Date]]=PlanDueDate),Tasks[[#This Row],[Done?]]="Pending"),0,"")))),"")</f>
        <v>0</v>
      </c>
      <c r="G34" s="11" t="s">
        <v>138</v>
      </c>
    </row>
    <row r="35" spans="2:7" ht="30" customHeight="1" x14ac:dyDescent="0.25">
      <c r="B35" s="11" t="str">
        <f ca="1">Tasks[[#This Row],[Status Icon]]</f>
        <v/>
      </c>
      <c r="C35" s="14" t="s">
        <v>89</v>
      </c>
      <c r="D35" s="31"/>
      <c r="E35" s="32"/>
      <c r="F35" s="17" t="str">
        <f ca="1">IFERROR(IF(ISBLANK(Tasks[[#This Row],[Due Date]]),"",IF(Tasks[[#This Row],[Done?]]="Yes",1,IF(OR(Tasks[[#This Row],[Due Date]]&gt;PlanDueDate,Tasks[[#This Row],[Done?]]="No"),-1,IF(OR(OR(Tasks[[#This Row],[Due Date]]=TODAY(),Tasks[[#This Row],[Due Date]]=PlanDueDate),Tasks[[#This Row],[Done?]]="Pending"),0,"")))),"")</f>
        <v/>
      </c>
      <c r="G35" s="26"/>
    </row>
    <row r="36" spans="2:7" ht="30" customHeight="1" x14ac:dyDescent="0.25">
      <c r="B36" s="11">
        <f ca="1">Tasks[[#This Row],[Status Icon]]</f>
        <v>1</v>
      </c>
      <c r="C36" t="s">
        <v>27</v>
      </c>
      <c r="D36" s="12">
        <v>46107</v>
      </c>
      <c r="E36" s="13" t="s">
        <v>133</v>
      </c>
      <c r="F36" s="11">
        <f ca="1">IFERROR(IF(ISBLANK(Tasks[[#This Row],[Due Date]]),"",IF(Tasks[[#This Row],[Done?]]="Yes",1,IF(OR(Tasks[[#This Row],[Due Date]]&gt;PlanDueDate,Tasks[[#This Row],[Done?]]="No"),-1,IF(OR(OR(Tasks[[#This Row],[Due Date]]=TODAY(),Tasks[[#This Row],[Due Date]]=PlanDueDate),Tasks[[#This Row],[Done?]]="Pending"),0,"")))),"")</f>
        <v>1</v>
      </c>
      <c r="G36" s="27" t="s">
        <v>136</v>
      </c>
    </row>
    <row r="37" spans="2:7" ht="30" customHeight="1" x14ac:dyDescent="0.25">
      <c r="B37" s="11">
        <f ca="1">Tasks[[#This Row],[Status Icon]]</f>
        <v>1</v>
      </c>
      <c r="C37" t="s">
        <v>28</v>
      </c>
      <c r="D37" s="12">
        <v>46107</v>
      </c>
      <c r="E37" s="13" t="s">
        <v>133</v>
      </c>
      <c r="F37" s="11">
        <f ca="1">IFERROR(IF(ISBLANK(Tasks[[#This Row],[Due Date]]),"",IF(Tasks[[#This Row],[Done?]]="Yes",1,IF(OR(Tasks[[#This Row],[Due Date]]&gt;PlanDueDate,Tasks[[#This Row],[Done?]]="No"),-1,IF(OR(OR(Tasks[[#This Row],[Due Date]]=TODAY(),Tasks[[#This Row],[Due Date]]=PlanDueDate),Tasks[[#This Row],[Done?]]="Pending"),0,"")))),"")</f>
        <v>1</v>
      </c>
      <c r="G37" s="27" t="s">
        <v>136</v>
      </c>
    </row>
    <row r="38" spans="2:7" ht="30" customHeight="1" x14ac:dyDescent="0.25">
      <c r="B38" s="11">
        <f ca="1">Tasks[[#This Row],[Status Icon]]</f>
        <v>1</v>
      </c>
      <c r="C38" t="s">
        <v>29</v>
      </c>
      <c r="D38" s="12">
        <v>46107</v>
      </c>
      <c r="E38" s="13" t="s">
        <v>133</v>
      </c>
      <c r="F38" s="11">
        <f ca="1">IFERROR(IF(ISBLANK(Tasks[[#This Row],[Due Date]]),"",IF(Tasks[[#This Row],[Done?]]="Yes",1,IF(OR(Tasks[[#This Row],[Due Date]]&gt;PlanDueDate,Tasks[[#This Row],[Done?]]="No"),-1,IF(OR(OR(Tasks[[#This Row],[Due Date]]=TODAY(),Tasks[[#This Row],[Due Date]]=PlanDueDate),Tasks[[#This Row],[Done?]]="Pending"),0,"")))),"")</f>
        <v>1</v>
      </c>
      <c r="G38" s="27" t="s">
        <v>136</v>
      </c>
    </row>
    <row r="39" spans="2:7" ht="30" customHeight="1" x14ac:dyDescent="0.25">
      <c r="B39" s="11" t="str">
        <f ca="1">Tasks[[#This Row],[Status Icon]]</f>
        <v/>
      </c>
      <c r="C39" s="14" t="s">
        <v>90</v>
      </c>
      <c r="D39" s="31"/>
      <c r="E39" s="32"/>
      <c r="F39" s="17" t="str">
        <f ca="1">IFERROR(IF(ISBLANK(Tasks[[#This Row],[Due Date]]),"",IF(Tasks[[#This Row],[Done?]]="Yes",1,IF(OR(Tasks[[#This Row],[Due Date]]&gt;PlanDueDate,Tasks[[#This Row],[Done?]]="No"),-1,IF(OR(OR(Tasks[[#This Row],[Due Date]]=TODAY(),Tasks[[#This Row],[Due Date]]=PlanDueDate),Tasks[[#This Row],[Done?]]="Pending"),0,"")))),"")</f>
        <v/>
      </c>
      <c r="G39" s="26"/>
    </row>
    <row r="40" spans="2:7" ht="30" customHeight="1" x14ac:dyDescent="0.25">
      <c r="B40" s="11">
        <f ca="1">Tasks[[#This Row],[Status Icon]]</f>
        <v>1</v>
      </c>
      <c r="C40" t="s">
        <v>31</v>
      </c>
      <c r="D40" s="12">
        <v>46107</v>
      </c>
      <c r="E40" s="13" t="s">
        <v>133</v>
      </c>
      <c r="F40" s="11">
        <f ca="1">IFERROR(IF(ISBLANK(Tasks[[#This Row],[Due Date]]),"",IF(Tasks[[#This Row],[Done?]]="Yes",1,IF(OR(Tasks[[#This Row],[Due Date]]&gt;PlanDueDate,Tasks[[#This Row],[Done?]]="No"),-1,IF(OR(OR(Tasks[[#This Row],[Due Date]]=TODAY(),Tasks[[#This Row],[Due Date]]=PlanDueDate),Tasks[[#This Row],[Done?]]="Pending"),0,"")))),"")</f>
        <v>1</v>
      </c>
      <c r="G40" s="27" t="s">
        <v>136</v>
      </c>
    </row>
    <row r="41" spans="2:7" ht="30" customHeight="1" x14ac:dyDescent="0.25">
      <c r="B41" s="11">
        <f ca="1">Tasks[[#This Row],[Status Icon]]</f>
        <v>1</v>
      </c>
      <c r="C41" t="s">
        <v>32</v>
      </c>
      <c r="D41" s="12">
        <v>46107</v>
      </c>
      <c r="E41" s="13" t="s">
        <v>133</v>
      </c>
      <c r="F41" s="11">
        <f ca="1">IFERROR(IF(ISBLANK(Tasks[[#This Row],[Due Date]]),"",IF(Tasks[[#This Row],[Done?]]="Yes",1,IF(OR(Tasks[[#This Row],[Due Date]]&gt;PlanDueDate,Tasks[[#This Row],[Done?]]="No"),-1,IF(OR(OR(Tasks[[#This Row],[Due Date]]=TODAY(),Tasks[[#This Row],[Due Date]]=PlanDueDate),Tasks[[#This Row],[Done?]]="Pending"),0,"")))),"")</f>
        <v>1</v>
      </c>
      <c r="G41" s="27" t="s">
        <v>136</v>
      </c>
    </row>
    <row r="42" spans="2:7" ht="30" customHeight="1" x14ac:dyDescent="0.25">
      <c r="B42" s="11">
        <f ca="1">Tasks[[#This Row],[Status Icon]]</f>
        <v>1</v>
      </c>
      <c r="C42" t="s">
        <v>33</v>
      </c>
      <c r="D42" s="12">
        <v>46107</v>
      </c>
      <c r="E42" s="13" t="s">
        <v>133</v>
      </c>
      <c r="F42" s="11">
        <f ca="1">IFERROR(IF(ISBLANK(Tasks[[#This Row],[Due Date]]),"",IF(Tasks[[#This Row],[Done?]]="Yes",1,IF(OR(Tasks[[#This Row],[Due Date]]&gt;PlanDueDate,Tasks[[#This Row],[Done?]]="No"),-1,IF(OR(OR(Tasks[[#This Row],[Due Date]]=TODAY(),Tasks[[#This Row],[Due Date]]=PlanDueDate),Tasks[[#This Row],[Done?]]="Pending"),0,"")))),"")</f>
        <v>1</v>
      </c>
      <c r="G42" s="27" t="s">
        <v>136</v>
      </c>
    </row>
    <row r="43" spans="2:7" ht="30" customHeight="1" x14ac:dyDescent="0.25">
      <c r="B43" s="11">
        <f ca="1">Tasks[[#This Row],[Status Icon]]</f>
        <v>1</v>
      </c>
      <c r="C43" t="s">
        <v>30</v>
      </c>
      <c r="D43" s="12">
        <v>46112</v>
      </c>
      <c r="E43" s="13" t="s">
        <v>133</v>
      </c>
      <c r="F43" s="11">
        <f ca="1">IFERROR(IF(ISBLANK(Tasks[[#This Row],[Due Date]]),"",IF(Tasks[[#This Row],[Done?]]="Yes",1,IF(OR(Tasks[[#This Row],[Due Date]]&gt;PlanDueDate,Tasks[[#This Row],[Done?]]="No"),-1,IF(OR(OR(Tasks[[#This Row],[Due Date]]=TODAY(),Tasks[[#This Row],[Due Date]]=PlanDueDate),Tasks[[#This Row],[Done?]]="Pending"),0,"")))),"")</f>
        <v>1</v>
      </c>
      <c r="G43" s="27" t="s">
        <v>136</v>
      </c>
    </row>
    <row r="44" spans="2:7" ht="30" customHeight="1" x14ac:dyDescent="0.25">
      <c r="B44" s="11">
        <f ca="1">Tasks[[#This Row],[Status Icon]]</f>
        <v>1</v>
      </c>
      <c r="C44" t="s">
        <v>34</v>
      </c>
      <c r="D44" s="12">
        <v>46112</v>
      </c>
      <c r="E44" s="13" t="s">
        <v>133</v>
      </c>
      <c r="F44" s="11">
        <f ca="1">IFERROR(IF(ISBLANK(Tasks[[#This Row],[Due Date]]),"",IF(Tasks[[#This Row],[Done?]]="Yes",1,IF(OR(Tasks[[#This Row],[Due Date]]&gt;PlanDueDate,Tasks[[#This Row],[Done?]]="No"),-1,IF(OR(OR(Tasks[[#This Row],[Due Date]]=TODAY(),Tasks[[#This Row],[Due Date]]=PlanDueDate),Tasks[[#This Row],[Done?]]="Pending"),0,"")))),"")</f>
        <v>1</v>
      </c>
      <c r="G44" s="27" t="s">
        <v>136</v>
      </c>
    </row>
    <row r="45" spans="2:7" ht="30" customHeight="1" x14ac:dyDescent="0.25">
      <c r="B45" s="11" t="str">
        <f ca="1">Tasks[[#This Row],[Status Icon]]</f>
        <v/>
      </c>
      <c r="C45" s="22" t="s">
        <v>94</v>
      </c>
      <c r="D45" s="23"/>
      <c r="E45" s="24"/>
      <c r="F45" s="25" t="str">
        <f ca="1">IFERROR(IF(ISBLANK(Tasks[[#This Row],[Due Date]]),"",IF(Tasks[[#This Row],[Done?]]="Yes",1,IF(OR(Tasks[[#This Row],[Due Date]]&gt;PlanDueDate,Tasks[[#This Row],[Done?]]="No"),-1,IF(OR(OR(Tasks[[#This Row],[Due Date]]=TODAY(),Tasks[[#This Row],[Due Date]]=PlanDueDate),Tasks[[#This Row],[Done?]]="Pending"),0,"")))),"")</f>
        <v/>
      </c>
      <c r="G45" s="29"/>
    </row>
    <row r="46" spans="2:7" ht="30" customHeight="1" x14ac:dyDescent="0.25">
      <c r="B46" s="11">
        <f ca="1">Tasks[[#This Row],[Status Icon]]</f>
        <v>1</v>
      </c>
      <c r="C46" t="s">
        <v>42</v>
      </c>
      <c r="D46" s="12">
        <v>46107</v>
      </c>
      <c r="E46" s="13" t="s">
        <v>133</v>
      </c>
      <c r="F46" s="11">
        <f ca="1">IFERROR(IF(ISBLANK(Tasks[[#This Row],[Due Date]]),"",IF(Tasks[[#This Row],[Done?]]="Yes",1,IF(OR(Tasks[[#This Row],[Due Date]]&gt;PlanDueDate,Tasks[[#This Row],[Done?]]="No"),-1,IF(OR(OR(Tasks[[#This Row],[Due Date]]=TODAY(),Tasks[[#This Row],[Due Date]]=PlanDueDate),Tasks[[#This Row],[Done?]]="Pending"),0,"")))),"")</f>
        <v>1</v>
      </c>
      <c r="G46" s="27" t="s">
        <v>138</v>
      </c>
    </row>
    <row r="47" spans="2:7" ht="30" customHeight="1" x14ac:dyDescent="0.25">
      <c r="B47" s="11">
        <f ca="1">Tasks[[#This Row],[Status Icon]]</f>
        <v>1</v>
      </c>
      <c r="C47" t="s">
        <v>141</v>
      </c>
      <c r="D47" s="12">
        <v>46107</v>
      </c>
      <c r="E47" s="13" t="s">
        <v>133</v>
      </c>
      <c r="F47" s="11">
        <f ca="1">IFERROR(IF(ISBLANK(Tasks[[#This Row],[Due Date]]),"",IF(Tasks[[#This Row],[Done?]]="Yes",1,IF(OR(Tasks[[#This Row],[Due Date]]&gt;PlanDueDate,Tasks[[#This Row],[Done?]]="No"),-1,IF(OR(OR(Tasks[[#This Row],[Due Date]]=TODAY(),Tasks[[#This Row],[Due Date]]=PlanDueDate),Tasks[[#This Row],[Done?]]="Pending"),0,"")))),"")</f>
        <v>1</v>
      </c>
      <c r="G47" s="27" t="s">
        <v>138</v>
      </c>
    </row>
    <row r="48" spans="2:7" ht="30" customHeight="1" x14ac:dyDescent="0.25">
      <c r="B48" s="11">
        <f ca="1">Tasks[[#This Row],[Status Icon]]</f>
        <v>1</v>
      </c>
      <c r="C48" t="s">
        <v>142</v>
      </c>
      <c r="D48" s="12">
        <v>46112</v>
      </c>
      <c r="E48" s="13" t="s">
        <v>133</v>
      </c>
      <c r="F48" s="11">
        <f ca="1">IFERROR(IF(ISBLANK(Tasks[[#This Row],[Due Date]]),"",IF(Tasks[[#This Row],[Done?]]="Yes",1,IF(OR(Tasks[[#This Row],[Due Date]]&gt;PlanDueDate,Tasks[[#This Row],[Done?]]="No"),-1,IF(OR(OR(Tasks[[#This Row],[Due Date]]=TODAY(),Tasks[[#This Row],[Due Date]]=PlanDueDate),Tasks[[#This Row],[Done?]]="Pending"),0,"")))),"")</f>
        <v>1</v>
      </c>
      <c r="G48" s="27" t="s">
        <v>138</v>
      </c>
    </row>
    <row r="49" spans="2:7" ht="30" customHeight="1" x14ac:dyDescent="0.25">
      <c r="B49" s="11">
        <f ca="1">Tasks[[#This Row],[Status Icon]]</f>
        <v>1</v>
      </c>
      <c r="C49" t="s">
        <v>143</v>
      </c>
      <c r="D49" s="12">
        <v>46112</v>
      </c>
      <c r="E49" s="13" t="s">
        <v>133</v>
      </c>
      <c r="F49" s="11">
        <f ca="1">IFERROR(IF(ISBLANK(Tasks[[#This Row],[Due Date]]),"",IF(Tasks[[#This Row],[Done?]]="Yes",1,IF(OR(Tasks[[#This Row],[Due Date]]&gt;PlanDueDate,Tasks[[#This Row],[Done?]]="No"),-1,IF(OR(OR(Tasks[[#This Row],[Due Date]]=TODAY(),Tasks[[#This Row],[Due Date]]=PlanDueDate),Tasks[[#This Row],[Done?]]="Pending"),0,"")))),"")</f>
        <v>1</v>
      </c>
      <c r="G49" s="27" t="s">
        <v>138</v>
      </c>
    </row>
    <row r="50" spans="2:7" ht="30" customHeight="1" x14ac:dyDescent="0.25">
      <c r="B50" s="11">
        <f ca="1">Tasks[[#This Row],[Status Icon]]</f>
        <v>1</v>
      </c>
      <c r="C50" t="s">
        <v>43</v>
      </c>
      <c r="D50" s="12">
        <v>46135</v>
      </c>
      <c r="E50" s="13" t="s">
        <v>133</v>
      </c>
      <c r="F50" s="11">
        <f ca="1">IFERROR(IF(ISBLANK(Tasks[[#This Row],[Due Date]]),"",IF(Tasks[[#This Row],[Done?]]="Yes",1,IF(OR(Tasks[[#This Row],[Due Date]]&gt;PlanDueDate,Tasks[[#This Row],[Done?]]="No"),-1,IF(OR(OR(Tasks[[#This Row],[Due Date]]=TODAY(),Tasks[[#This Row],[Due Date]]=PlanDueDate),Tasks[[#This Row],[Done?]]="Pending"),0,"")))),"")</f>
        <v>1</v>
      </c>
      <c r="G50" s="27" t="s">
        <v>136</v>
      </c>
    </row>
    <row r="51" spans="2:7" ht="30" customHeight="1" x14ac:dyDescent="0.25">
      <c r="B51" s="11">
        <f ca="1">Tasks[[#This Row],[Status Icon]]</f>
        <v>1</v>
      </c>
      <c r="C51" t="s">
        <v>44</v>
      </c>
      <c r="D51" s="12">
        <v>46135</v>
      </c>
      <c r="E51" s="13" t="s">
        <v>133</v>
      </c>
      <c r="F51" s="11">
        <f ca="1">IFERROR(IF(ISBLANK(Tasks[[#This Row],[Due Date]]),"",IF(Tasks[[#This Row],[Done?]]="Yes",1,IF(OR(Tasks[[#This Row],[Due Date]]&gt;PlanDueDate,Tasks[[#This Row],[Done?]]="No"),-1,IF(OR(OR(Tasks[[#This Row],[Due Date]]=TODAY(),Tasks[[#This Row],[Due Date]]=PlanDueDate),Tasks[[#This Row],[Done?]]="Pending"),0,"")))),"")</f>
        <v>1</v>
      </c>
      <c r="G51" s="27" t="s">
        <v>136</v>
      </c>
    </row>
    <row r="52" spans="2:7" ht="30" customHeight="1" x14ac:dyDescent="0.25">
      <c r="B52" s="11">
        <f ca="1">Tasks[[#This Row],[Status Icon]]</f>
        <v>1</v>
      </c>
      <c r="C52" t="s">
        <v>45</v>
      </c>
      <c r="D52" s="12">
        <v>46135</v>
      </c>
      <c r="E52" s="13" t="s">
        <v>133</v>
      </c>
      <c r="F52" s="11">
        <f ca="1">IFERROR(IF(ISBLANK(Tasks[[#This Row],[Due Date]]),"",IF(Tasks[[#This Row],[Done?]]="Yes",1,IF(OR(Tasks[[#This Row],[Due Date]]&gt;PlanDueDate,Tasks[[#This Row],[Done?]]="No"),-1,IF(OR(OR(Tasks[[#This Row],[Due Date]]=TODAY(),Tasks[[#This Row],[Due Date]]=PlanDueDate),Tasks[[#This Row],[Done?]]="Pending"),0,"")))),"")</f>
        <v>1</v>
      </c>
      <c r="G52" s="27" t="s">
        <v>136</v>
      </c>
    </row>
    <row r="53" spans="2:7" ht="30" customHeight="1" x14ac:dyDescent="0.25">
      <c r="B53" s="11">
        <f ca="1">Tasks[[#This Row],[Status Icon]]</f>
        <v>1</v>
      </c>
      <c r="C53" t="s">
        <v>46</v>
      </c>
      <c r="D53" s="12">
        <v>46135</v>
      </c>
      <c r="E53" s="13" t="s">
        <v>133</v>
      </c>
      <c r="F53" s="11">
        <f ca="1">IFERROR(IF(ISBLANK(Tasks[[#This Row],[Due Date]]),"",IF(Tasks[[#This Row],[Done?]]="Yes",1,IF(OR(Tasks[[#This Row],[Due Date]]&gt;PlanDueDate,Tasks[[#This Row],[Done?]]="No"),-1,IF(OR(OR(Tasks[[#This Row],[Due Date]]=TODAY(),Tasks[[#This Row],[Due Date]]=PlanDueDate),Tasks[[#This Row],[Done?]]="Pending"),0,"")))),"")</f>
        <v>1</v>
      </c>
      <c r="G53" s="27" t="s">
        <v>136</v>
      </c>
    </row>
    <row r="54" spans="2:7" ht="30" customHeight="1" x14ac:dyDescent="0.25">
      <c r="B54" s="11">
        <f ca="1">Tasks[[#This Row],[Status Icon]]</f>
        <v>0</v>
      </c>
      <c r="C54" t="s">
        <v>47</v>
      </c>
      <c r="D54" s="12">
        <v>46111</v>
      </c>
      <c r="E54" s="13" t="s">
        <v>147</v>
      </c>
      <c r="F54" s="11">
        <f ca="1">IFERROR(IF(ISBLANK(Tasks[[#This Row],[Due Date]]),"",IF(Tasks[[#This Row],[Done?]]="Yes",1,IF(OR(Tasks[[#This Row],[Due Date]]&gt;PlanDueDate,Tasks[[#This Row],[Done?]]="No"),-1,IF(OR(OR(Tasks[[#This Row],[Due Date]]=TODAY(),Tasks[[#This Row],[Due Date]]=PlanDueDate),Tasks[[#This Row],[Done?]]="Pending"),0,"")))),"")</f>
        <v>0</v>
      </c>
      <c r="G54" s="27" t="s">
        <v>138</v>
      </c>
    </row>
    <row r="55" spans="2:7" ht="30" customHeight="1" x14ac:dyDescent="0.25">
      <c r="B55" s="11" t="str">
        <f ca="1">Tasks[[#This Row],[Status Icon]]</f>
        <v/>
      </c>
      <c r="C55" s="22" t="s">
        <v>91</v>
      </c>
      <c r="D55" s="23"/>
      <c r="E55" s="24"/>
      <c r="F55" s="25" t="str">
        <f ca="1">IFERROR(IF(ISBLANK(Tasks[[#This Row],[Due Date]]),"",IF(Tasks[[#This Row],[Done?]]="Yes",1,IF(OR(Tasks[[#This Row],[Due Date]]&gt;PlanDueDate,Tasks[[#This Row],[Done?]]="No"),-1,IF(OR(OR(Tasks[[#This Row],[Due Date]]=TODAY(),Tasks[[#This Row],[Due Date]]=PlanDueDate),Tasks[[#This Row],[Done?]]="Pending"),0,"")))),"")</f>
        <v/>
      </c>
      <c r="G55" s="29"/>
    </row>
    <row r="56" spans="2:7" ht="30" customHeight="1" x14ac:dyDescent="0.25">
      <c r="B56" s="11">
        <f ca="1">Tasks[[#This Row],[Status Icon]]</f>
        <v>0</v>
      </c>
      <c r="C56" t="s">
        <v>48</v>
      </c>
      <c r="D56" s="12">
        <v>46111</v>
      </c>
      <c r="E56" s="13" t="s">
        <v>147</v>
      </c>
      <c r="F56" s="11">
        <f ca="1">IFERROR(IF(ISBLANK(Tasks[[#This Row],[Due Date]]),"",IF(Tasks[[#This Row],[Done?]]="Yes",1,IF(OR(Tasks[[#This Row],[Due Date]]&gt;PlanDueDate,Tasks[[#This Row],[Done?]]="No"),-1,IF(OR(OR(Tasks[[#This Row],[Due Date]]=TODAY(),Tasks[[#This Row],[Due Date]]=PlanDueDate),Tasks[[#This Row],[Done?]]="Pending"),0,"")))),"")</f>
        <v>0</v>
      </c>
      <c r="G56" s="27" t="s">
        <v>136</v>
      </c>
    </row>
    <row r="57" spans="2:7" ht="30" customHeight="1" x14ac:dyDescent="0.25">
      <c r="B57" s="11">
        <f ca="1">Tasks[[#This Row],[Status Icon]]</f>
        <v>0</v>
      </c>
      <c r="C57" t="s">
        <v>49</v>
      </c>
      <c r="D57" s="12">
        <v>46111</v>
      </c>
      <c r="E57" s="13" t="s">
        <v>147</v>
      </c>
      <c r="F57" s="11">
        <f ca="1">IFERROR(IF(ISBLANK(Tasks[[#This Row],[Due Date]]),"",IF(Tasks[[#This Row],[Done?]]="Yes",1,IF(OR(Tasks[[#This Row],[Due Date]]&gt;PlanDueDate,Tasks[[#This Row],[Done?]]="No"),-1,IF(OR(OR(Tasks[[#This Row],[Due Date]]=TODAY(),Tasks[[#This Row],[Due Date]]=PlanDueDate),Tasks[[#This Row],[Done?]]="Pending"),0,"")))),"")</f>
        <v>0</v>
      </c>
      <c r="G57" s="27" t="s">
        <v>136</v>
      </c>
    </row>
    <row r="58" spans="2:7" ht="30" customHeight="1" x14ac:dyDescent="0.25">
      <c r="B58" s="11">
        <f ca="1">Tasks[[#This Row],[Status Icon]]</f>
        <v>0</v>
      </c>
      <c r="C58" t="s">
        <v>50</v>
      </c>
      <c r="D58" s="12">
        <v>46111</v>
      </c>
      <c r="E58" s="13" t="s">
        <v>147</v>
      </c>
      <c r="F58" s="11">
        <f ca="1">IFERROR(IF(ISBLANK(Tasks[[#This Row],[Due Date]]),"",IF(Tasks[[#This Row],[Done?]]="Yes",1,IF(OR(Tasks[[#This Row],[Due Date]]&gt;PlanDueDate,Tasks[[#This Row],[Done?]]="No"),-1,IF(OR(OR(Tasks[[#This Row],[Due Date]]=TODAY(),Tasks[[#This Row],[Due Date]]=PlanDueDate),Tasks[[#This Row],[Done?]]="Pending"),0,"")))),"")</f>
        <v>0</v>
      </c>
      <c r="G58" s="27" t="s">
        <v>136</v>
      </c>
    </row>
    <row r="59" spans="2:7" ht="30" customHeight="1" x14ac:dyDescent="0.25">
      <c r="B59" s="11">
        <f ca="1">Tasks[[#This Row],[Status Icon]]</f>
        <v>0</v>
      </c>
      <c r="C59" t="s">
        <v>51</v>
      </c>
      <c r="D59" s="12">
        <v>46111</v>
      </c>
      <c r="E59" s="13" t="s">
        <v>147</v>
      </c>
      <c r="F59" s="11">
        <f ca="1">IFERROR(IF(ISBLANK(Tasks[[#This Row],[Due Date]]),"",IF(Tasks[[#This Row],[Done?]]="Yes",1,IF(OR(Tasks[[#This Row],[Due Date]]&gt;PlanDueDate,Tasks[[#This Row],[Done?]]="No"),-1,IF(OR(OR(Tasks[[#This Row],[Due Date]]=TODAY(),Tasks[[#This Row],[Due Date]]=PlanDueDate),Tasks[[#This Row],[Done?]]="Pending"),0,"")))),"")</f>
        <v>0</v>
      </c>
      <c r="G59" s="27" t="s">
        <v>136</v>
      </c>
    </row>
    <row r="60" spans="2:7" ht="30" customHeight="1" x14ac:dyDescent="0.25">
      <c r="B60" s="11" t="str">
        <f ca="1">Tasks[[#This Row],[Status Icon]]</f>
        <v/>
      </c>
      <c r="C60" s="22" t="s">
        <v>92</v>
      </c>
      <c r="D60" s="23"/>
      <c r="E60" s="24"/>
      <c r="F60" s="25" t="str">
        <f ca="1">IFERROR(IF(ISBLANK(Tasks[[#This Row],[Due Date]]),"",IF(Tasks[[#This Row],[Done?]]="Yes",1,IF(OR(Tasks[[#This Row],[Due Date]]&gt;PlanDueDate,Tasks[[#This Row],[Done?]]="No"),-1,IF(OR(OR(Tasks[[#This Row],[Due Date]]=TODAY(),Tasks[[#This Row],[Due Date]]=PlanDueDate),Tasks[[#This Row],[Done?]]="Pending"),0,"")))),"")</f>
        <v/>
      </c>
      <c r="G60" s="29"/>
    </row>
    <row r="61" spans="2:7" ht="30" customHeight="1" x14ac:dyDescent="0.25">
      <c r="B61" s="11">
        <f ca="1">Tasks[[#This Row],[Status Icon]]</f>
        <v>-1</v>
      </c>
      <c r="C61" t="s">
        <v>52</v>
      </c>
      <c r="D61" s="12">
        <v>46111</v>
      </c>
      <c r="E61" s="13" t="s">
        <v>10</v>
      </c>
      <c r="F61" s="11">
        <f ca="1">IFERROR(IF(ISBLANK(Tasks[[#This Row],[Due Date]]),"",IF(Tasks[[#This Row],[Done?]]="Yes",1,IF(OR(Tasks[[#This Row],[Due Date]]&gt;PlanDueDate,Tasks[[#This Row],[Done?]]="No"),-1,IF(OR(OR(Tasks[[#This Row],[Due Date]]=TODAY(),Tasks[[#This Row],[Due Date]]=PlanDueDate),Tasks[[#This Row],[Done?]]="Pending"),0,"")))),"")</f>
        <v>-1</v>
      </c>
      <c r="G61" s="27" t="s">
        <v>138</v>
      </c>
    </row>
    <row r="62" spans="2:7" ht="30" customHeight="1" x14ac:dyDescent="0.25">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138</v>
      </c>
    </row>
    <row r="63" spans="2:7" ht="30" customHeight="1" x14ac:dyDescent="0.25">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138</v>
      </c>
    </row>
    <row r="64" spans="2:7" ht="30" customHeight="1" x14ac:dyDescent="0.25">
      <c r="B64" s="11" t="str">
        <f ca="1">Tasks[[#This Row],[Status Icon]]</f>
        <v/>
      </c>
      <c r="C64" s="22" t="s">
        <v>93</v>
      </c>
      <c r="D64" s="23"/>
      <c r="E64" s="24"/>
      <c r="F64" s="25" t="str">
        <f ca="1">IFERROR(IF(ISBLANK(Tasks[[#This Row],[Due Date]]),"",IF(Tasks[[#This Row],[Done?]]="Yes",1,IF(OR(Tasks[[#This Row],[Due Date]]&gt;PlanDueDate,Tasks[[#This Row],[Done?]]="No"),-1,IF(OR(OR(Tasks[[#This Row],[Due Date]]=TODAY(),Tasks[[#This Row],[Due Date]]=PlanDueDate),Tasks[[#This Row],[Done?]]="Pending"),0,"")))),"")</f>
        <v/>
      </c>
      <c r="G64" s="29"/>
    </row>
    <row r="65" spans="2:7" ht="30" customHeight="1" x14ac:dyDescent="0.25">
      <c r="B65" s="11">
        <f ca="1">Tasks[[#This Row],[Status Icon]]</f>
        <v>-1</v>
      </c>
      <c r="C65" t="s">
        <v>55</v>
      </c>
      <c r="D65" s="12">
        <v>46114</v>
      </c>
      <c r="E65" s="13" t="s">
        <v>10</v>
      </c>
      <c r="F65" s="11">
        <f ca="1">IFERROR(IF(ISBLANK(Tasks[[#This Row],[Due Date]]),"",IF(Tasks[[#This Row],[Done?]]="Yes",1,IF(OR(Tasks[[#This Row],[Due Date]]&gt;PlanDueDate,Tasks[[#This Row],[Done?]]="No"),-1,IF(OR(OR(Tasks[[#This Row],[Due Date]]=TODAY(),Tasks[[#This Row],[Due Date]]=PlanDueDate),Tasks[[#This Row],[Done?]]="Pending"),0,"")))),"")</f>
        <v>-1</v>
      </c>
      <c r="G65" s="27" t="s">
        <v>136</v>
      </c>
    </row>
    <row r="66" spans="2:7" ht="30" customHeight="1" x14ac:dyDescent="0.2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136</v>
      </c>
    </row>
    <row r="67" spans="2:7" ht="30" customHeight="1" x14ac:dyDescent="0.25">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138</v>
      </c>
    </row>
    <row r="68" spans="2:7" ht="30" customHeight="1" x14ac:dyDescent="0.25">
      <c r="B68" s="11">
        <f ca="1">Tasks[[#This Row],[Status Icon]]</f>
        <v>-1</v>
      </c>
      <c r="C68" t="s">
        <v>146</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136</v>
      </c>
    </row>
    <row r="69" spans="2:7" ht="30" customHeight="1" x14ac:dyDescent="0.25">
      <c r="B69" s="11" t="str">
        <f ca="1">Tasks[[#This Row],[Status Icon]]</f>
        <v/>
      </c>
      <c r="C69" s="22" t="s">
        <v>95</v>
      </c>
      <c r="D69" s="23"/>
      <c r="E69" s="24"/>
      <c r="F69" s="25" t="str">
        <f ca="1">IFERROR(IF(ISBLANK(Tasks[[#This Row],[Due Date]]),"",IF(Tasks[[#This Row],[Done?]]="Yes",1,IF(OR(Tasks[[#This Row],[Due Date]]&gt;PlanDueDate,Tasks[[#This Row],[Done?]]="No"),-1,IF(OR(OR(Tasks[[#This Row],[Due Date]]=TODAY(),Tasks[[#This Row],[Due Date]]=PlanDueDate),Tasks[[#This Row],[Done?]]="Pending"),0,"")))),"")</f>
        <v/>
      </c>
      <c r="G69" s="29"/>
    </row>
    <row r="70" spans="2:7" ht="30" customHeight="1" x14ac:dyDescent="0.25">
      <c r="B70" s="11">
        <f ca="1">Tasks[[#This Row],[Status Icon]]</f>
        <v>-1</v>
      </c>
      <c r="C70" t="s">
        <v>58</v>
      </c>
      <c r="D70" s="12">
        <v>46114</v>
      </c>
      <c r="E70" s="13" t="s">
        <v>10</v>
      </c>
      <c r="F70" s="11">
        <f ca="1">IFERROR(IF(ISBLANK(Tasks[[#This Row],[Due Date]]),"",IF(Tasks[[#This Row],[Done?]]="Yes",1,IF(OR(Tasks[[#This Row],[Due Date]]&gt;PlanDueDate,Tasks[[#This Row],[Done?]]="No"),-1,IF(OR(OR(Tasks[[#This Row],[Due Date]]=TODAY(),Tasks[[#This Row],[Due Date]]=PlanDueDate),Tasks[[#This Row],[Done?]]="Pending"),0,"")))),"")</f>
        <v>-1</v>
      </c>
      <c r="G70" s="27" t="s">
        <v>136</v>
      </c>
    </row>
    <row r="71" spans="2:7" ht="30" customHeight="1" x14ac:dyDescent="0.25">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138</v>
      </c>
    </row>
    <row r="72" spans="2:7" ht="30" customHeight="1" x14ac:dyDescent="0.25">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138</v>
      </c>
    </row>
    <row r="73" spans="2:7" ht="30" customHeight="1" x14ac:dyDescent="0.25">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138</v>
      </c>
    </row>
    <row r="74" spans="2:7" ht="30" customHeight="1" x14ac:dyDescent="0.2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136</v>
      </c>
    </row>
    <row r="75" spans="2:7" ht="30" customHeight="1" x14ac:dyDescent="0.25">
      <c r="B75" s="11" t="str">
        <f ca="1">Tasks[[#This Row],[Status Icon]]</f>
        <v/>
      </c>
      <c r="C75" s="22" t="s">
        <v>96</v>
      </c>
      <c r="D75" s="23"/>
      <c r="E75" s="24"/>
      <c r="F75" s="25" t="str">
        <f ca="1">IFERROR(IF(ISBLANK(Tasks[[#This Row],[Due Date]]),"",IF(Tasks[[#This Row],[Done?]]="Yes",1,IF(OR(Tasks[[#This Row],[Due Date]]&gt;PlanDueDate,Tasks[[#This Row],[Done?]]="No"),-1,IF(OR(OR(Tasks[[#This Row],[Due Date]]=TODAY(),Tasks[[#This Row],[Due Date]]=PlanDueDate),Tasks[[#This Row],[Done?]]="Pending"),0,"")))),"")</f>
        <v/>
      </c>
      <c r="G75" s="29"/>
    </row>
    <row r="76" spans="2:7" ht="30" customHeight="1" x14ac:dyDescent="0.25">
      <c r="B76" s="11">
        <f ca="1">Tasks[[#This Row],[Status Icon]]</f>
        <v>-1</v>
      </c>
      <c r="C76" t="s">
        <v>63</v>
      </c>
      <c r="D76" s="12">
        <v>46116</v>
      </c>
      <c r="E76" s="13" t="s">
        <v>10</v>
      </c>
      <c r="F76" s="11">
        <f ca="1">IFERROR(IF(ISBLANK(Tasks[[#This Row],[Due Date]]),"",IF(Tasks[[#This Row],[Done?]]="Yes",1,IF(OR(Tasks[[#This Row],[Due Date]]&gt;PlanDueDate,Tasks[[#This Row],[Done?]]="No"),-1,IF(OR(OR(Tasks[[#This Row],[Due Date]]=TODAY(),Tasks[[#This Row],[Due Date]]=PlanDueDate),Tasks[[#This Row],[Done?]]="Pending"),0,"")))),"")</f>
        <v>-1</v>
      </c>
      <c r="G76" s="27" t="s">
        <v>136</v>
      </c>
    </row>
    <row r="77" spans="2:7" ht="30" customHeight="1" x14ac:dyDescent="0.2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136</v>
      </c>
    </row>
    <row r="78" spans="2:7" ht="30" customHeight="1" x14ac:dyDescent="0.25">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138</v>
      </c>
    </row>
    <row r="79" spans="2:7" ht="30" customHeight="1" x14ac:dyDescent="0.2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136</v>
      </c>
    </row>
    <row r="80" spans="2:7" ht="30" customHeight="1" x14ac:dyDescent="0.25">
      <c r="B80" s="11" t="str">
        <f ca="1">Tasks[[#This Row],[Status Icon]]</f>
        <v/>
      </c>
      <c r="C80" s="22" t="s">
        <v>97</v>
      </c>
      <c r="D80" s="23"/>
      <c r="E80" s="24"/>
      <c r="F80" s="25" t="str">
        <f ca="1">IFERROR(IF(ISBLANK(Tasks[[#This Row],[Due Date]]),"",IF(Tasks[[#This Row],[Done?]]="Yes",1,IF(OR(Tasks[[#This Row],[Due Date]]&gt;PlanDueDate,Tasks[[#This Row],[Done?]]="No"),-1,IF(OR(OR(Tasks[[#This Row],[Due Date]]=TODAY(),Tasks[[#This Row],[Due Date]]=PlanDueDate),Tasks[[#This Row],[Done?]]="Pending"),0,"")))),"")</f>
        <v/>
      </c>
      <c r="G80" s="29"/>
    </row>
    <row r="81" spans="2:7" ht="30" customHeight="1" x14ac:dyDescent="0.25">
      <c r="B81" s="11">
        <f ca="1">Tasks[[#This Row],[Status Icon]]</f>
        <v>1</v>
      </c>
      <c r="C81" t="s">
        <v>67</v>
      </c>
      <c r="D81" s="12">
        <v>46116</v>
      </c>
      <c r="E81" s="13" t="s">
        <v>133</v>
      </c>
      <c r="F81" s="11">
        <f ca="1">IFERROR(IF(ISBLANK(Tasks[[#This Row],[Due Date]]),"",IF(Tasks[[#This Row],[Done?]]="Yes",1,IF(OR(Tasks[[#This Row],[Due Date]]&gt;PlanDueDate,Tasks[[#This Row],[Done?]]="No"),-1,IF(OR(OR(Tasks[[#This Row],[Due Date]]=TODAY(),Tasks[[#This Row],[Due Date]]=PlanDueDate),Tasks[[#This Row],[Done?]]="Pending"),0,"")))),"")</f>
        <v>1</v>
      </c>
      <c r="G81" s="27" t="s">
        <v>136</v>
      </c>
    </row>
    <row r="82" spans="2:7" ht="30" customHeight="1" x14ac:dyDescent="0.25">
      <c r="B82" s="11">
        <f ca="1">Tasks[[#This Row],[Status Icon]]</f>
        <v>0</v>
      </c>
      <c r="C82" t="s">
        <v>68</v>
      </c>
      <c r="D82" s="12">
        <v>46116</v>
      </c>
      <c r="E82" s="13" t="s">
        <v>147</v>
      </c>
      <c r="F82" s="11">
        <f ca="1">IFERROR(IF(ISBLANK(Tasks[[#This Row],[Due Date]]),"",IF(Tasks[[#This Row],[Done?]]="Yes",1,IF(OR(Tasks[[#This Row],[Due Date]]&gt;PlanDueDate,Tasks[[#This Row],[Done?]]="No"),-1,IF(OR(OR(Tasks[[#This Row],[Due Date]]=TODAY(),Tasks[[#This Row],[Due Date]]=PlanDueDate),Tasks[[#This Row],[Done?]]="Pending"),0,"")))),"")</f>
        <v>0</v>
      </c>
      <c r="G82" s="27" t="s">
        <v>138</v>
      </c>
    </row>
    <row r="83" spans="2:7" ht="30" customHeight="1" x14ac:dyDescent="0.25">
      <c r="B83" s="11">
        <f ca="1">Tasks[[#This Row],[Status Icon]]</f>
        <v>0</v>
      </c>
      <c r="C83" t="s">
        <v>69</v>
      </c>
      <c r="D83" s="12">
        <v>46116</v>
      </c>
      <c r="E83" s="13" t="s">
        <v>147</v>
      </c>
      <c r="F83" s="11">
        <f ca="1">IFERROR(IF(ISBLANK(Tasks[[#This Row],[Due Date]]),"",IF(Tasks[[#This Row],[Done?]]="Yes",1,IF(OR(Tasks[[#This Row],[Due Date]]&gt;PlanDueDate,Tasks[[#This Row],[Done?]]="No"),-1,IF(OR(OR(Tasks[[#This Row],[Due Date]]=TODAY(),Tasks[[#This Row],[Due Date]]=PlanDueDate),Tasks[[#This Row],[Done?]]="Pending"),0,"")))),"")</f>
        <v>0</v>
      </c>
      <c r="G83" s="27" t="s">
        <v>138</v>
      </c>
    </row>
    <row r="84" spans="2:7" ht="30" customHeight="1" x14ac:dyDescent="0.25">
      <c r="B84" s="11">
        <f ca="1">Tasks[[#This Row],[Status Icon]]</f>
        <v>0</v>
      </c>
      <c r="C84" t="s">
        <v>70</v>
      </c>
      <c r="D84" s="12">
        <v>46116</v>
      </c>
      <c r="E84" s="13" t="s">
        <v>147</v>
      </c>
      <c r="F84" s="11">
        <f ca="1">IFERROR(IF(ISBLANK(Tasks[[#This Row],[Due Date]]),"",IF(Tasks[[#This Row],[Done?]]="Yes",1,IF(OR(Tasks[[#This Row],[Due Date]]&gt;PlanDueDate,Tasks[[#This Row],[Done?]]="No"),-1,IF(OR(OR(Tasks[[#This Row],[Due Date]]=TODAY(),Tasks[[#This Row],[Due Date]]=PlanDueDate),Tasks[[#This Row],[Done?]]="Pending"),0,"")))),"")</f>
        <v>0</v>
      </c>
      <c r="G84" s="27" t="s">
        <v>136</v>
      </c>
    </row>
    <row r="85" spans="2:7" ht="30" customHeight="1" x14ac:dyDescent="0.25">
      <c r="B85" s="11" t="str">
        <f ca="1">Tasks[[#This Row],[Status Icon]]</f>
        <v/>
      </c>
      <c r="C85" s="22" t="s">
        <v>71</v>
      </c>
      <c r="D85" s="23"/>
      <c r="E85" s="24"/>
      <c r="F85" s="25" t="str">
        <f ca="1">IFERROR(IF(ISBLANK(Tasks[[#This Row],[Due Date]]),"",IF(Tasks[[#This Row],[Done?]]="Yes",1,IF(OR(Tasks[[#This Row],[Due Date]]&gt;PlanDueDate,Tasks[[#This Row],[Done?]]="No"),-1,IF(OR(OR(Tasks[[#This Row],[Due Date]]=TODAY(),Tasks[[#This Row],[Due Date]]=PlanDueDate),Tasks[[#This Row],[Done?]]="Pending"),0,"")))),"")</f>
        <v/>
      </c>
      <c r="G85" s="29"/>
    </row>
    <row r="86" spans="2:7" ht="30" customHeight="1" x14ac:dyDescent="0.25">
      <c r="B86" s="11">
        <f ca="1">Tasks[[#This Row],[Status Icon]]</f>
        <v>-1</v>
      </c>
      <c r="C86" t="s">
        <v>72</v>
      </c>
      <c r="D86" s="12">
        <v>46117</v>
      </c>
      <c r="E86" s="13" t="s">
        <v>10</v>
      </c>
      <c r="F86" s="11">
        <f ca="1">IFERROR(IF(ISBLANK(Tasks[[#This Row],[Due Date]]),"",IF(Tasks[[#This Row],[Done?]]="Yes",1,IF(OR(Tasks[[#This Row],[Due Date]]&gt;PlanDueDate,Tasks[[#This Row],[Done?]]="No"),-1,IF(OR(OR(Tasks[[#This Row],[Due Date]]=TODAY(),Tasks[[#This Row],[Due Date]]=PlanDueDate),Tasks[[#This Row],[Done?]]="Pending"),0,"")))),"")</f>
        <v>-1</v>
      </c>
      <c r="G86" s="27" t="s">
        <v>136</v>
      </c>
    </row>
    <row r="87" spans="2:7" ht="30" customHeight="1" x14ac:dyDescent="0.25">
      <c r="B87" s="11">
        <f ca="1">Tasks[[#This Row],[Status Icon]]</f>
        <v>-1</v>
      </c>
      <c r="C87" t="s">
        <v>73</v>
      </c>
      <c r="D87" s="12">
        <v>46119</v>
      </c>
      <c r="E87" s="13" t="s">
        <v>10</v>
      </c>
      <c r="F87" s="11">
        <f ca="1">IFERROR(IF(ISBLANK(Tasks[[#This Row],[Due Date]]),"",IF(Tasks[[#This Row],[Done?]]="Yes",1,IF(OR(Tasks[[#This Row],[Due Date]]&gt;PlanDueDate,Tasks[[#This Row],[Done?]]="No"),-1,IF(OR(OR(Tasks[[#This Row],[Due Date]]=TODAY(),Tasks[[#This Row],[Due Date]]=PlanDueDate),Tasks[[#This Row],[Done?]]="Pending"),0,"")))),"")</f>
        <v>-1</v>
      </c>
      <c r="G87" s="27" t="s">
        <v>136</v>
      </c>
    </row>
    <row r="88" spans="2:7" ht="30" customHeight="1" x14ac:dyDescent="0.2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136</v>
      </c>
    </row>
    <row r="89" spans="2:7" ht="30" customHeight="1" x14ac:dyDescent="0.2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136</v>
      </c>
    </row>
    <row r="90" spans="2:7" ht="30" customHeight="1" x14ac:dyDescent="0.25">
      <c r="B90" s="11">
        <f ca="1">Tasks[[#This Row],[Status Icon]]</f>
        <v>-1</v>
      </c>
      <c r="C90" t="s">
        <v>76</v>
      </c>
      <c r="D90" s="12">
        <v>46120</v>
      </c>
      <c r="E90" s="13" t="s">
        <v>10</v>
      </c>
      <c r="F90" s="11">
        <f ca="1">IFERROR(IF(ISBLANK(Tasks[[#This Row],[Due Date]]),"",IF(Tasks[[#This Row],[Done?]]="Yes",1,IF(OR(Tasks[[#This Row],[Due Date]]&gt;PlanDueDate,Tasks[[#This Row],[Done?]]="No"),-1,IF(OR(OR(Tasks[[#This Row],[Due Date]]=TODAY(),Tasks[[#This Row],[Due Date]]=PlanDueDate),Tasks[[#This Row],[Done?]]="Pending"),0,"")))),"")</f>
        <v>-1</v>
      </c>
      <c r="G90" s="27" t="s">
        <v>136</v>
      </c>
    </row>
    <row r="91" spans="2:7" ht="30" customHeight="1" x14ac:dyDescent="0.2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136</v>
      </c>
    </row>
    <row r="92" spans="2:7" ht="30" customHeight="1" x14ac:dyDescent="0.25">
      <c r="B92" s="11" t="str">
        <f ca="1">Tasks[[#This Row],[Status Icon]]</f>
        <v/>
      </c>
      <c r="C92" s="22" t="s">
        <v>78</v>
      </c>
      <c r="D92" s="23"/>
      <c r="E92" s="24"/>
      <c r="F92" s="25" t="str">
        <f ca="1">IFERROR(IF(ISBLANK(Tasks[[#This Row],[Due Date]]),"",IF(Tasks[[#This Row],[Done?]]="Yes",1,IF(OR(Tasks[[#This Row],[Due Date]]&gt;PlanDueDate,Tasks[[#This Row],[Done?]]="No"),-1,IF(OR(OR(Tasks[[#This Row],[Due Date]]=TODAY(),Tasks[[#This Row],[Due Date]]=PlanDueDate),Tasks[[#This Row],[Done?]]="Pending"),0,"")))),"")</f>
        <v/>
      </c>
      <c r="G92" s="29"/>
    </row>
    <row r="93" spans="2:7" ht="30" customHeight="1" x14ac:dyDescent="0.25">
      <c r="B93" s="11">
        <f ca="1">Tasks[[#This Row],[Status Icon]]</f>
        <v>-1</v>
      </c>
      <c r="C93" t="s">
        <v>79</v>
      </c>
      <c r="D93" s="12">
        <v>46123</v>
      </c>
      <c r="E93" s="13" t="s">
        <v>10</v>
      </c>
      <c r="F93" s="11">
        <f ca="1">IFERROR(IF(ISBLANK(Tasks[[#This Row],[Due Date]]),"",IF(Tasks[[#This Row],[Done?]]="Yes",1,IF(OR(Tasks[[#This Row],[Due Date]]&gt;PlanDueDate,Tasks[[#This Row],[Done?]]="No"),-1,IF(OR(OR(Tasks[[#This Row],[Due Date]]=TODAY(),Tasks[[#This Row],[Due Date]]=PlanDueDate),Tasks[[#This Row],[Done?]]="Pending"),0,"")))),"")</f>
        <v>-1</v>
      </c>
      <c r="G93" s="27" t="s">
        <v>136</v>
      </c>
    </row>
    <row r="94" spans="2:7" ht="30" customHeight="1" x14ac:dyDescent="0.2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136</v>
      </c>
    </row>
    <row r="95" spans="2:7" ht="30" customHeight="1" x14ac:dyDescent="0.2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136</v>
      </c>
    </row>
    <row r="96" spans="2:7" ht="30" customHeight="1" x14ac:dyDescent="0.2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136</v>
      </c>
    </row>
    <row r="97" spans="2:7" ht="30" customHeight="1" x14ac:dyDescent="0.25">
      <c r="B97" s="11" t="str">
        <f ca="1">Tasks[[#This Row],[Status Icon]]</f>
        <v/>
      </c>
      <c r="C97" s="22" t="s">
        <v>98</v>
      </c>
      <c r="D97" s="23"/>
      <c r="E97" s="24"/>
      <c r="F97" s="25" t="str">
        <f ca="1">IFERROR(IF(ISBLANK(Tasks[[#This Row],[Due Date]]),"",IF(Tasks[[#This Row],[Done?]]="Yes",1,IF(OR(Tasks[[#This Row],[Due Date]]&gt;PlanDueDate,Tasks[[#This Row],[Done?]]="No"),-1,IF(OR(OR(Tasks[[#This Row],[Due Date]]=TODAY(),Tasks[[#This Row],[Due Date]]=PlanDueDate),Tasks[[#This Row],[Done?]]="Pending"),0,"")))),"")</f>
        <v/>
      </c>
      <c r="G97" s="29"/>
    </row>
    <row r="98" spans="2:7" ht="30" customHeight="1" x14ac:dyDescent="0.25">
      <c r="B98" s="11">
        <f ca="1">Tasks[[#This Row],[Status Icon]]</f>
        <v>-1</v>
      </c>
      <c r="C98" t="s">
        <v>99</v>
      </c>
      <c r="D98" s="12">
        <v>46123</v>
      </c>
      <c r="E98" s="13" t="s">
        <v>10</v>
      </c>
      <c r="F98" s="11">
        <f ca="1">IFERROR(IF(ISBLANK(Tasks[[#This Row],[Due Date]]),"",IF(Tasks[[#This Row],[Done?]]="Yes",1,IF(OR(Tasks[[#This Row],[Due Date]]&gt;PlanDueDate,Tasks[[#This Row],[Done?]]="No"),-1,IF(OR(OR(Tasks[[#This Row],[Due Date]]=TODAY(),Tasks[[#This Row],[Due Date]]=PlanDueDate),Tasks[[#This Row],[Done?]]="Pending"),0,"")))),"")</f>
        <v>-1</v>
      </c>
      <c r="G98" s="27" t="s">
        <v>136</v>
      </c>
    </row>
    <row r="99" spans="2:7" ht="30" customHeight="1" x14ac:dyDescent="0.25">
      <c r="B99" s="11">
        <f ca="1">Tasks[[#This Row],[Status Icon]]</f>
        <v>-1</v>
      </c>
      <c r="C99" t="s">
        <v>100</v>
      </c>
      <c r="D99" s="12">
        <v>46125</v>
      </c>
      <c r="E99" s="13" t="s">
        <v>10</v>
      </c>
      <c r="F99" s="11">
        <f ca="1">IFERROR(IF(ISBLANK(Tasks[[#This Row],[Due Date]]),"",IF(Tasks[[#This Row],[Done?]]="Yes",1,IF(OR(Tasks[[#This Row],[Due Date]]&gt;PlanDueDate,Tasks[[#This Row],[Done?]]="No"),-1,IF(OR(OR(Tasks[[#This Row],[Due Date]]=TODAY(),Tasks[[#This Row],[Due Date]]=PlanDueDate),Tasks[[#This Row],[Done?]]="Pending"),0,"")))),"")</f>
        <v>-1</v>
      </c>
      <c r="G99" s="27" t="s">
        <v>136</v>
      </c>
    </row>
    <row r="100" spans="2:7" ht="30" customHeight="1" x14ac:dyDescent="0.2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136</v>
      </c>
    </row>
    <row r="101" spans="2:7" ht="30" customHeight="1" x14ac:dyDescent="0.2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136</v>
      </c>
    </row>
    <row r="102" spans="2:7" ht="30" customHeight="1" x14ac:dyDescent="0.25">
      <c r="B102" s="11" t="str">
        <f ca="1">Tasks[[#This Row],[Status Icon]]</f>
        <v/>
      </c>
      <c r="C102" s="22" t="s">
        <v>103</v>
      </c>
      <c r="D102" s="23"/>
      <c r="E102" s="24"/>
      <c r="F102" s="25" t="str">
        <f ca="1">IFERROR(IF(ISBLANK(Tasks[[#This Row],[Due Date]]),"",IF(Tasks[[#This Row],[Done?]]="Yes",1,IF(OR(Tasks[[#This Row],[Due Date]]&gt;PlanDueDate,Tasks[[#This Row],[Done?]]="No"),-1,IF(OR(OR(Tasks[[#This Row],[Due Date]]=TODAY(),Tasks[[#This Row],[Due Date]]=PlanDueDate),Tasks[[#This Row],[Done?]]="Pending"),0,"")))),"")</f>
        <v/>
      </c>
      <c r="G102" s="29"/>
    </row>
    <row r="103" spans="2:7" ht="30" customHeight="1" x14ac:dyDescent="0.25">
      <c r="B103" s="11">
        <f ca="1">Tasks[[#This Row],[Status Icon]]</f>
        <v>-1</v>
      </c>
      <c r="C103" t="s">
        <v>104</v>
      </c>
      <c r="D103" s="12">
        <v>46128</v>
      </c>
      <c r="E103" s="13" t="s">
        <v>10</v>
      </c>
      <c r="F103" s="11">
        <f ca="1">IFERROR(IF(ISBLANK(Tasks[[#This Row],[Due Date]]),"",IF(Tasks[[#This Row],[Done?]]="Yes",1,IF(OR(Tasks[[#This Row],[Due Date]]&gt;PlanDueDate,Tasks[[#This Row],[Done?]]="No"),-1,IF(OR(OR(Tasks[[#This Row],[Due Date]]=TODAY(),Tasks[[#This Row],[Due Date]]=PlanDueDate),Tasks[[#This Row],[Done?]]="Pending"),0,"")))),"")</f>
        <v>-1</v>
      </c>
      <c r="G103" s="27" t="s">
        <v>136</v>
      </c>
    </row>
    <row r="104" spans="2:7" ht="30" customHeight="1" x14ac:dyDescent="0.2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136</v>
      </c>
    </row>
    <row r="105" spans="2:7" ht="30" customHeight="1" x14ac:dyDescent="0.2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136</v>
      </c>
    </row>
    <row r="106" spans="2:7" ht="30" customHeight="1" x14ac:dyDescent="0.2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136</v>
      </c>
    </row>
    <row r="107" spans="2:7" ht="30" customHeight="1" x14ac:dyDescent="0.25">
      <c r="B107" s="11" t="str">
        <f ca="1">Tasks[[#This Row],[Status Icon]]</f>
        <v/>
      </c>
      <c r="C107" s="22" t="s">
        <v>108</v>
      </c>
      <c r="D107" s="23"/>
      <c r="E107" s="24"/>
      <c r="F107" s="25" t="str">
        <f ca="1">IFERROR(IF(ISBLANK(Tasks[[#This Row],[Due Date]]),"",IF(Tasks[[#This Row],[Done?]]="Yes",1,IF(OR(Tasks[[#This Row],[Due Date]]&gt;PlanDueDate,Tasks[[#This Row],[Done?]]="No"),-1,IF(OR(OR(Tasks[[#This Row],[Due Date]]=TODAY(),Tasks[[#This Row],[Due Date]]=PlanDueDate),Tasks[[#This Row],[Done?]]="Pending"),0,"")))),"")</f>
        <v/>
      </c>
      <c r="G107" s="29"/>
    </row>
    <row r="108" spans="2:7" ht="30" customHeight="1" x14ac:dyDescent="0.25">
      <c r="B108" s="11">
        <f ca="1">Tasks[[#This Row],[Status Icon]]</f>
        <v>-1</v>
      </c>
      <c r="C108" t="s">
        <v>109</v>
      </c>
      <c r="D108" s="12">
        <v>46133</v>
      </c>
      <c r="E108" s="13" t="s">
        <v>10</v>
      </c>
      <c r="F108" s="11">
        <f ca="1">IFERROR(IF(ISBLANK(Tasks[[#This Row],[Due Date]]),"",IF(Tasks[[#This Row],[Done?]]="Yes",1,IF(OR(Tasks[[#This Row],[Due Date]]&gt;PlanDueDate,Tasks[[#This Row],[Done?]]="No"),-1,IF(OR(OR(Tasks[[#This Row],[Due Date]]=TODAY(),Tasks[[#This Row],[Due Date]]=PlanDueDate),Tasks[[#This Row],[Done?]]="Pending"),0,"")))),"")</f>
        <v>-1</v>
      </c>
      <c r="G108" s="27" t="s">
        <v>136</v>
      </c>
    </row>
    <row r="109" spans="2:7" ht="30" customHeight="1" x14ac:dyDescent="0.2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136</v>
      </c>
    </row>
    <row r="110" spans="2:7" ht="30" customHeight="1" x14ac:dyDescent="0.25">
      <c r="B110" s="11" t="str">
        <f ca="1">Tasks[[#This Row],[Status Icon]]</f>
        <v/>
      </c>
      <c r="C110" s="22" t="s">
        <v>111</v>
      </c>
      <c r="D110" s="23"/>
      <c r="E110" s="24"/>
      <c r="F110" s="25" t="str">
        <f ca="1">IFERROR(IF(ISBLANK(Tasks[[#This Row],[Due Date]]),"",IF(Tasks[[#This Row],[Done?]]="Yes",1,IF(OR(Tasks[[#This Row],[Due Date]]&gt;PlanDueDate,Tasks[[#This Row],[Done?]]="No"),-1,IF(OR(OR(Tasks[[#This Row],[Due Date]]=TODAY(),Tasks[[#This Row],[Due Date]]=PlanDueDate),Tasks[[#This Row],[Done?]]="Pending"),0,"")))),"")</f>
        <v/>
      </c>
      <c r="G110" s="29"/>
    </row>
    <row r="111" spans="2:7" ht="30" customHeight="1" x14ac:dyDescent="0.25">
      <c r="B111" s="11">
        <f ca="1">Tasks[[#This Row],[Status Icon]]</f>
        <v>-1</v>
      </c>
      <c r="C111" t="s">
        <v>112</v>
      </c>
      <c r="D111" s="12">
        <v>46135</v>
      </c>
      <c r="E111" s="13" t="s">
        <v>10</v>
      </c>
      <c r="F111" s="11">
        <f ca="1">IFERROR(IF(ISBLANK(Tasks[[#This Row],[Due Date]]),"",IF(Tasks[[#This Row],[Done?]]="Yes",1,IF(OR(Tasks[[#This Row],[Due Date]]&gt;PlanDueDate,Tasks[[#This Row],[Done?]]="No"),-1,IF(OR(OR(Tasks[[#This Row],[Due Date]]=TODAY(),Tasks[[#This Row],[Due Date]]=PlanDueDate),Tasks[[#This Row],[Done?]]="Pending"),0,"")))),"")</f>
        <v>-1</v>
      </c>
      <c r="G111" s="27" t="s">
        <v>138</v>
      </c>
    </row>
    <row r="112" spans="2:7" ht="30" customHeight="1" x14ac:dyDescent="0.25">
      <c r="B112" s="11">
        <f ca="1">Tasks[[#This Row],[Status Icon]]</f>
        <v>-1</v>
      </c>
      <c r="C112" t="s">
        <v>113</v>
      </c>
      <c r="D112" s="12">
        <v>46142</v>
      </c>
      <c r="E112" s="13" t="s">
        <v>10</v>
      </c>
      <c r="F112" s="11">
        <f ca="1">IFERROR(IF(ISBLANK(Tasks[[#This Row],[Due Date]]),"",IF(Tasks[[#This Row],[Done?]]="Yes",1,IF(OR(Tasks[[#This Row],[Due Date]]&gt;PlanDueDate,Tasks[[#This Row],[Done?]]="No"),-1,IF(OR(OR(Tasks[[#This Row],[Due Date]]=TODAY(),Tasks[[#This Row],[Due Date]]=PlanDueDate),Tasks[[#This Row],[Done?]]="Pending"),0,"")))),"")</f>
        <v>-1</v>
      </c>
      <c r="G112" s="27" t="s">
        <v>136</v>
      </c>
    </row>
    <row r="113" spans="2:7" ht="30" customHeight="1" x14ac:dyDescent="0.2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136</v>
      </c>
    </row>
    <row r="114" spans="2:7" ht="30" customHeight="1" x14ac:dyDescent="0.2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136</v>
      </c>
    </row>
    <row r="115" spans="2:7" ht="30" customHeight="1" x14ac:dyDescent="0.25">
      <c r="B115" s="11" t="str">
        <f ca="1">Tasks[[#This Row],[Status Icon]]</f>
        <v/>
      </c>
      <c r="C115" s="22" t="s">
        <v>116</v>
      </c>
      <c r="D115" s="23"/>
      <c r="E115" s="24"/>
      <c r="F115" s="25" t="str">
        <f ca="1">IFERROR(IF(ISBLANK(Tasks[[#This Row],[Due Date]]),"",IF(Tasks[[#This Row],[Done?]]="Yes",1,IF(OR(Tasks[[#This Row],[Due Date]]&gt;PlanDueDate,Tasks[[#This Row],[Done?]]="No"),-1,IF(OR(OR(Tasks[[#This Row],[Due Date]]=TODAY(),Tasks[[#This Row],[Due Date]]=PlanDueDate),Tasks[[#This Row],[Done?]]="Pending"),0,"")))),"")</f>
        <v/>
      </c>
      <c r="G115" s="29"/>
    </row>
    <row r="116" spans="2:7" ht="30" customHeight="1" x14ac:dyDescent="0.25">
      <c r="B116" s="11">
        <f ca="1">Tasks[[#This Row],[Status Icon]]</f>
        <v>-1</v>
      </c>
      <c r="C116" t="s">
        <v>117</v>
      </c>
      <c r="D116" s="12">
        <v>46156</v>
      </c>
      <c r="E116" s="13" t="s">
        <v>10</v>
      </c>
      <c r="F116" s="11">
        <f ca="1">IFERROR(IF(ISBLANK(Tasks[[#This Row],[Due Date]]),"",IF(Tasks[[#This Row],[Done?]]="Yes",1,IF(OR(Tasks[[#This Row],[Due Date]]&gt;PlanDueDate,Tasks[[#This Row],[Done?]]="No"),-1,IF(OR(OR(Tasks[[#This Row],[Due Date]]=TODAY(),Tasks[[#This Row],[Due Date]]=PlanDueDate),Tasks[[#This Row],[Done?]]="Pending"),0,"")))),"")</f>
        <v>-1</v>
      </c>
      <c r="G116" s="27" t="s">
        <v>136</v>
      </c>
    </row>
    <row r="117" spans="2:7" ht="30" customHeight="1" x14ac:dyDescent="0.2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136</v>
      </c>
    </row>
    <row r="118" spans="2:7" ht="30" customHeight="1" x14ac:dyDescent="0.25">
      <c r="B118" s="11" t="str">
        <f ca="1">Tasks[[#This Row],[Status Icon]]</f>
        <v/>
      </c>
      <c r="C118" s="22" t="s">
        <v>119</v>
      </c>
      <c r="D118" s="23"/>
      <c r="E118" s="24"/>
      <c r="F118" s="25" t="str">
        <f ca="1">IFERROR(IF(ISBLANK(Tasks[[#This Row],[Due Date]]),"",IF(Tasks[[#This Row],[Done?]]="Yes",1,IF(OR(Tasks[[#This Row],[Due Date]]&gt;PlanDueDate,Tasks[[#This Row],[Done?]]="No"),-1,IF(OR(OR(Tasks[[#This Row],[Due Date]]=TODAY(),Tasks[[#This Row],[Due Date]]=PlanDueDate),Tasks[[#This Row],[Done?]]="Pending"),0,"")))),"")</f>
        <v/>
      </c>
      <c r="G118" s="29"/>
    </row>
    <row r="119" spans="2:7" ht="30" customHeight="1" x14ac:dyDescent="0.25">
      <c r="B119" s="11">
        <f ca="1">Tasks[[#This Row],[Status Icon]]</f>
        <v>-1</v>
      </c>
      <c r="C119" t="s">
        <v>120</v>
      </c>
      <c r="D119" s="12">
        <v>46163</v>
      </c>
      <c r="E119" s="13" t="s">
        <v>10</v>
      </c>
      <c r="F119" s="11">
        <f ca="1">IFERROR(IF(ISBLANK(Tasks[[#This Row],[Due Date]]),"",IF(Tasks[[#This Row],[Done?]]="Yes",1,IF(OR(Tasks[[#This Row],[Due Date]]&gt;PlanDueDate,Tasks[[#This Row],[Done?]]="No"),-1,IF(OR(OR(Tasks[[#This Row],[Due Date]]=TODAY(),Tasks[[#This Row],[Due Date]]=PlanDueDate),Tasks[[#This Row],[Done?]]="Pending"),0,"")))),"")</f>
        <v>-1</v>
      </c>
      <c r="G119" s="27" t="s">
        <v>139</v>
      </c>
    </row>
    <row r="120" spans="2:7" ht="30" customHeight="1" x14ac:dyDescent="0.25">
      <c r="B120" s="11">
        <f ca="1">Tasks[[#This Row],[Status Icon]]</f>
        <v>-1</v>
      </c>
      <c r="C120" t="s">
        <v>121</v>
      </c>
      <c r="D120" s="12">
        <v>46170</v>
      </c>
      <c r="E120" s="13" t="s">
        <v>10</v>
      </c>
      <c r="F120" s="11">
        <f ca="1">IFERROR(IF(ISBLANK(Tasks[[#This Row],[Due Date]]),"",IF(Tasks[[#This Row],[Done?]]="Yes",1,IF(OR(Tasks[[#This Row],[Due Date]]&gt;PlanDueDate,Tasks[[#This Row],[Done?]]="No"),-1,IF(OR(OR(Tasks[[#This Row],[Due Date]]=TODAY(),Tasks[[#This Row],[Due Date]]=PlanDueDate),Tasks[[#This Row],[Done?]]="Pending"),0,"")))),"")</f>
        <v>-1</v>
      </c>
      <c r="G120" s="27" t="s">
        <v>138</v>
      </c>
    </row>
    <row r="121" spans="2:7" ht="30" customHeight="1" x14ac:dyDescent="0.2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2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139</v>
      </c>
    </row>
    <row r="123" spans="2:7" ht="30" customHeight="1" x14ac:dyDescent="0.25">
      <c r="B123" s="11" t="str">
        <f ca="1">Tasks[[#This Row],[Status Icon]]</f>
        <v/>
      </c>
      <c r="C123" s="22" t="s">
        <v>124</v>
      </c>
      <c r="D123" s="23"/>
      <c r="E123" s="24"/>
      <c r="F123" s="25" t="str">
        <f ca="1">IFERROR(IF(ISBLANK(Tasks[[#This Row],[Due Date]]),"",IF(Tasks[[#This Row],[Done?]]="Yes",1,IF(OR(Tasks[[#This Row],[Due Date]]&gt;PlanDueDate,Tasks[[#This Row],[Done?]]="No"),-1,IF(OR(OR(Tasks[[#This Row],[Due Date]]=TODAY(),Tasks[[#This Row],[Due Date]]=PlanDueDate),Tasks[[#This Row],[Done?]]="Pending"),0,"")))),"")</f>
        <v/>
      </c>
      <c r="G123" s="29"/>
    </row>
    <row r="124" spans="2:7" ht="30" customHeight="1" x14ac:dyDescent="0.25">
      <c r="B124" s="11">
        <f ca="1">Tasks[[#This Row],[Status Icon]]</f>
        <v>-1</v>
      </c>
      <c r="C124" t="s">
        <v>125</v>
      </c>
      <c r="D124" s="12">
        <v>46177</v>
      </c>
      <c r="E124" s="13" t="s">
        <v>10</v>
      </c>
      <c r="F124" s="11">
        <f ca="1">IFERROR(IF(ISBLANK(Tasks[[#This Row],[Due Date]]),"",IF(Tasks[[#This Row],[Done?]]="Yes",1,IF(OR(Tasks[[#This Row],[Due Date]]&gt;PlanDueDate,Tasks[[#This Row],[Done?]]="No"),-1,IF(OR(OR(Tasks[[#This Row],[Due Date]]=TODAY(),Tasks[[#This Row],[Due Date]]=PlanDueDate),Tasks[[#This Row],[Done?]]="Pending"),0,"")))),"")</f>
        <v>-1</v>
      </c>
      <c r="G124" s="27" t="s">
        <v>136</v>
      </c>
    </row>
    <row r="125" spans="2:7" ht="30" customHeight="1" x14ac:dyDescent="0.2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139</v>
      </c>
    </row>
    <row r="126" spans="2:7" ht="30" customHeight="1" x14ac:dyDescent="0.25">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138</v>
      </c>
    </row>
    <row r="127" spans="2:7" ht="30" customHeight="1" x14ac:dyDescent="0.2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136</v>
      </c>
    </row>
    <row r="128" spans="2:7" ht="30" customHeight="1" x14ac:dyDescent="0.2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138</v>
      </c>
    </row>
    <row r="129" spans="2:7" ht="30" customHeight="1" x14ac:dyDescent="0.25">
      <c r="B129" s="11" t="str">
        <f ca="1">Tasks[[#This Row],[Status Icon]]</f>
        <v/>
      </c>
      <c r="C129" s="22" t="s">
        <v>130</v>
      </c>
      <c r="D129" s="23"/>
      <c r="E129" s="24"/>
      <c r="F129" s="25" t="str">
        <f ca="1">IFERROR(IF(ISBLANK(Tasks[[#This Row],[Due Date]]),"",IF(Tasks[[#This Row],[Done?]]="Yes",1,IF(OR(Tasks[[#This Row],[Due Date]]&gt;PlanDueDate,Tasks[[#This Row],[Done?]]="No"),-1,IF(OR(OR(Tasks[[#This Row],[Due Date]]=TODAY(),Tasks[[#This Row],[Due Date]]=PlanDueDate),Tasks[[#This Row],[Done?]]="Pending"),0,"")))),"")</f>
        <v/>
      </c>
      <c r="G129" s="29"/>
    </row>
    <row r="130" spans="2:7" ht="30" customHeight="1" x14ac:dyDescent="0.25">
      <c r="B130" s="11">
        <f ca="1">Tasks[[#This Row],[Status Icon]]</f>
        <v>-1</v>
      </c>
      <c r="C130" t="s">
        <v>131</v>
      </c>
      <c r="D130" s="12">
        <v>46185</v>
      </c>
      <c r="E130" s="13" t="s">
        <v>10</v>
      </c>
      <c r="F130" s="11">
        <f ca="1">IFERROR(IF(ISBLANK(Tasks[[#This Row],[Due Date]]),"",IF(Tasks[[#This Row],[Done?]]="Yes",1,IF(OR(Tasks[[#This Row],[Due Date]]&gt;PlanDueDate,Tasks[[#This Row],[Done?]]="No"),-1,IF(OR(OR(Tasks[[#This Row],[Due Date]]=TODAY(),Tasks[[#This Row],[Due Date]]=PlanDueDate),Tasks[[#This Row],[Done?]]="Pending"),0,"")))),"")</f>
        <v>-1</v>
      </c>
      <c r="G130" s="27" t="s">
        <v>138</v>
      </c>
    </row>
    <row r="131" spans="2:7" ht="30" customHeight="1" x14ac:dyDescent="0.25">
      <c r="B131" s="11">
        <f ca="1">Tasks[[#This Row],[Status Icon]]</f>
        <v>-1</v>
      </c>
      <c r="C131" t="s">
        <v>145</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136</v>
      </c>
    </row>
    <row r="132" spans="2:7" ht="30" customHeight="1" x14ac:dyDescent="0.25">
      <c r="B132" s="11">
        <f ca="1">Tasks[[#This Row],[Status Icon]]</f>
        <v>-1</v>
      </c>
      <c r="C132" t="s">
        <v>132</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136</v>
      </c>
    </row>
  </sheetData>
  <mergeCells count="6">
    <mergeCell ref="B1:C1"/>
    <mergeCell ref="B2:C3"/>
    <mergeCell ref="E4:G4"/>
    <mergeCell ref="E5:G5"/>
    <mergeCell ref="B4:D4"/>
    <mergeCell ref="B5:D5"/>
  </mergeCells>
  <conditionalFormatting sqref="B7:B132">
    <cfRule type="colorScale" priority="21">
      <colorScale>
        <cfvo type="num" val="-1"/>
        <cfvo type="num" val="0"/>
        <cfvo type="num" val="1"/>
        <color theme="5" tint="-0.249977111117893"/>
        <color theme="8" tint="0.39997558519241921"/>
        <color theme="6" tint="-0.249977111117893"/>
      </colorScale>
    </cfRule>
  </conditionalFormatting>
  <conditionalFormatting sqref="F7:F132">
    <cfRule type="expression" dxfId="5" priority="31">
      <formula>F7=1</formula>
    </cfRule>
    <cfRule type="expression" dxfId="4" priority="32">
      <formula>F7=0</formula>
    </cfRule>
    <cfRule type="expression" dxfId="3" priority="33">
      <formula>F7=-1</formula>
    </cfRule>
    <cfRule type="iconSet" priority="34">
      <iconSet iconSet="3Symbols2">
        <cfvo type="percent" val="0"/>
        <cfvo type="num" val="0"/>
        <cfvo type="num" val="1"/>
      </iconSet>
    </cfRule>
  </conditionalFormatting>
  <conditionalFormatting sqref="G26:G34">
    <cfRule type="expression" dxfId="2" priority="39">
      <formula>G26=1</formula>
    </cfRule>
    <cfRule type="expression" dxfId="1" priority="40">
      <formula>G26=0</formula>
    </cfRule>
    <cfRule type="expression" dxfId="0" priority="41">
      <formula>G26=-1</formula>
    </cfRule>
    <cfRule type="iconSet" priority="42">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2"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2026-04-07T17:39:29Z</dcterms:modified>
  <cp:category/>
  <cp:contentStatus/>
</cp:coreProperties>
</file>